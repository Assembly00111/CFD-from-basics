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si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mega" sheetId="4" state="visible" r:id="rId4"/>
    <sheet xmlns:r="http://schemas.openxmlformats.org/officeDocument/2006/relationships" name="u_vel" sheetId="5" state="visible" r:id="rId5"/>
    <sheet xmlns:r="http://schemas.openxmlformats.org/officeDocument/2006/relationships" name="v_vel" sheetId="6" state="visible" r:id="rId6"/>
    <sheet xmlns:r="http://schemas.openxmlformats.org/officeDocument/2006/relationships" name="Validation" sheetId="7" state="visible" r:id="rId7"/>
  </sheets>
  <definedNames>
    <definedName name="p_reset">Inputs!$B$5</definedName>
    <definedName name="p_U">Inputs!$B$7</definedName>
    <definedName name="p_Re">Inputs!$B$8</definedName>
    <definedName name="p_nu">Inputs!$B$9</definedName>
    <definedName name="p_dt">Inputs!$B$11</definedName>
    <definedName name="p_theta">Inputs!$B$12</definedName>
    <definedName name="p_dpsi">Inputs!$B$13</definedName>
    <definedName name="p_N">Inputs!$B$14</definedName>
    <definedName name="p_h">Inputs!$B$15</definedName>
    <definedName name="p_limD">Inputs!$B$16</definedName>
    <definedName name="p_limV">Inputs!$B$17</definedName>
    <definedName name="p_limC">Inputs!$B$18</definedName>
  </definedNames>
  <calcPr calcId="124519" fullCalcOnLoad="1" iterate="1" iterateCount="1000" iterateDelta="1e-09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b val="1"/>
      <sz val="8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7" fillId="2" borderId="0" pivotButton="0" quotePrefix="0" xfId="0"/>
    <xf numFmtId="2" fontId="7" fillId="2" borderId="0" applyAlignment="1" pivotButton="0" quotePrefix="0" xfId="0">
      <alignment horizontal="center"/>
    </xf>
    <xf numFmtId="2" fontId="7" fillId="2" borderId="0" pivotButton="0" quotePrefix="0" xfId="0"/>
    <xf numFmtId="164" fontId="8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165" fontId="8" fillId="0" borderId="0" applyAlignment="1" pivotButton="0" quotePrefix="0" xfId="0">
      <alignment horizontal="center"/>
    </xf>
    <xf numFmtId="2" fontId="8" fillId="0" borderId="0" applyAlignment="1" pivotButton="0" quotePrefix="0" xfId="0">
      <alignment horizontal="center"/>
    </xf>
    <xf numFmtId="164" fontId="4" fillId="0" borderId="0" pivotButton="0" quotePrefix="0" xfId="0"/>
    <xf numFmtId="166" fontId="5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dxfs count="1">
    <dxf>
      <font>
        <name val="Arial"/>
        <color rgb="00FFFFFF"/>
        <sz val="8"/>
      </font>
      <fill>
        <patternFill patternType="solid">
          <fgColor rgb="001F1F1F"/>
          <bgColor rgb="001F1F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 along vertical centre line (Re = 100)</a:t>
            </a:r>
          </a:p>
        </rich>
      </tx>
    </title>
    <plotArea>
      <scatterChart>
        <ser>
          <idx val="0"/>
          <order val="0"/>
          <tx>
            <v>Spreadsheet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'Validation'!$B$3:$B$35</f>
            </numRef>
          </xVal>
          <yVal>
            <numRef>
              <f>'Validation'!$A$3:$A$35</f>
            </numRef>
          </yVal>
          <smooth val="0"/>
        </ser>
        <ser>
          <idx val="1"/>
          <order val="1"/>
          <tx>
            <v>Ghia et al. (1982)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'Validation'!$E$3:$E$19</f>
            </numRef>
          </xVal>
          <yVal>
            <numRef>
              <f>'Validation'!$D$3:$D$19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2D lid-driven cavity in Excel (stream function - vorticity)</t>
        </is>
      </c>
    </row>
    <row r="3">
      <c r="A3" s="2" t="inlineStr">
        <is>
          <t>WHAT THIS SOLVES</t>
        </is>
      </c>
    </row>
    <row r="4">
      <c r="A4" s="3" t="inlineStr">
        <is>
          <t>Incompressible 2D Navier-Stokes in a 1 m x 1 m cavity; the top lid slides at speed U, the other three walls are still.</t>
        </is>
      </c>
    </row>
    <row r="5">
      <c r="A5" s="3" t="inlineStr">
        <is>
          <t xml:space="preserve">  Poisson:    laplacian(psi) = -omega              (Gauss-Seidel sweep each step)</t>
        </is>
      </c>
    </row>
    <row r="6">
      <c r="A6" s="3" t="inlineStr">
        <is>
          <t xml:space="preserve">  Transport:  d(omega)/dt + u*d(omega)/dx + v*d(omega)/dy = nu * laplacian(omega)   (explicit Euler)</t>
        </is>
      </c>
    </row>
    <row r="7">
      <c r="A7" s="3" t="inlineStr">
        <is>
          <t xml:space="preserve">  Velocity:   u = dpsi/dy,  v = -dpsi/dx</t>
        </is>
      </c>
    </row>
    <row r="8">
      <c r="A8" s="3" t="inlineStr">
        <is>
          <t xml:space="preserve">  Walls:      psi = 0;  omega from Thom's formula  omega_wall = -2*psi_inner/h^2 - 2*U_wall/h</t>
        </is>
      </c>
    </row>
    <row r="9">
      <c r="A9" s="3" t="inlineStr">
        <is>
          <t>No pressure equation is needed - that is what makes this practical in a spreadsheet.</t>
        </is>
      </c>
    </row>
    <row r="10">
      <c r="A10" s="3" t="inlineStr"/>
    </row>
    <row r="11">
      <c r="A11" s="2" t="inlineStr">
        <is>
          <t>ONE-TIME SETUP (required):</t>
        </is>
      </c>
    </row>
    <row r="12">
      <c r="A12" s="3" t="inlineStr">
        <is>
          <t>1) File &gt; Options &gt; Formulas &gt; tick 'Enable iterative calculation'.  Maximum Iterations = 1000, Maximum Change = 0.000000001.</t>
        </is>
      </c>
    </row>
    <row r="13">
      <c r="A13" s="3" t="inlineStr">
        <is>
          <t xml:space="preserve">   (Excel takes this from the first workbook opened in a session. Close other workbooks first if you see a circular-reference warning.)</t>
        </is>
      </c>
    </row>
    <row r="14">
      <c r="A14" s="3" t="inlineStr">
        <is>
          <t>2) Press F9. Each press = ~1000 time steps (dt = 0.01 -&gt; 10 s of flow time). Repeat until 'Kinetic energy' on Inputs stops changing (about 2-3 presses at Re = 100).</t>
        </is>
      </c>
    </row>
    <row r="15">
      <c r="A15" s="3" t="inlineStr"/>
    </row>
    <row r="16">
      <c r="A16" s="2" t="inlineStr">
        <is>
          <t>SHEETS:</t>
        </is>
      </c>
    </row>
    <row r="17">
      <c r="A17" s="3" t="inlineStr">
        <is>
          <t>Inputs - Reset, Re, lid speed, dt, upwind blend, stability limits, monitors.</t>
        </is>
      </c>
    </row>
    <row r="18">
      <c r="A18" s="3" t="inlineStr">
        <is>
          <t>Psi    - stream function; dark bands are streamlines -&gt; the primary vortex plus the two corner eddies.</t>
        </is>
      </c>
    </row>
    <row r="19">
      <c r="A19" s="3" t="inlineStr">
        <is>
          <t>Omega / u_vel / v_vel - vorticity and velocity fields (diverging colour scales).</t>
        </is>
      </c>
    </row>
    <row r="20">
      <c r="A20" s="3" t="inlineStr">
        <is>
          <t>Validation - centre-line u against Ghia et al. (1982) benchmark data at Re = 100, with chart and RMS error.</t>
        </is>
      </c>
    </row>
    <row r="21">
      <c r="A21" s="3" t="inlineStr"/>
    </row>
    <row r="22">
      <c r="A22" s="2" t="inlineStr">
        <is>
          <t>TIPS:</t>
        </is>
      </c>
    </row>
    <row r="23">
      <c r="A23" s="3" t="inlineStr">
        <is>
          <t>- Change Re on Inputs and press F9 again; the field continues from where it is. Use Reset = 1 / 0 for a clean restart.</t>
        </is>
      </c>
    </row>
    <row r="24">
      <c r="A24" s="3" t="inlineStr">
        <is>
          <t>- Keep dt below all three limits shown on Inputs, otherwise the stability check turns to UNSTABLE and values blow up to error values.</t>
        </is>
      </c>
    </row>
    <row r="25">
      <c r="A25" s="3" t="inlineStr">
        <is>
          <t xml:space="preserve">  If that happens: set Reset = 1, lower dt, set Reset = 0.</t>
        </is>
      </c>
    </row>
    <row r="26">
      <c r="A26" s="3" t="inlineStr">
        <is>
          <t>- Higher Re (&gt; 400) needs a finer grid and/or upwind blending (theta &gt; 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</cols>
  <sheetData>
    <row r="1">
      <c r="A1" s="4" t="inlineStr">
        <is>
          <t>Stream function psi   (laplacian psi = -omega;  u = dpsi/dy, v = -dpsi/dx)</t>
        </is>
      </c>
    </row>
    <row r="2">
      <c r="A2" s="5" t="inlineStr">
        <is>
          <t>y \ x</t>
        </is>
      </c>
      <c r="B2" s="6" t="n">
        <v>0</v>
      </c>
      <c r="C2" s="6">
        <f>B2+p_h</f>
        <v/>
      </c>
      <c r="D2" s="6">
        <f>C2+p_h</f>
        <v/>
      </c>
      <c r="E2" s="6">
        <f>D2+p_h</f>
        <v/>
      </c>
      <c r="F2" s="6">
        <f>E2+p_h</f>
        <v/>
      </c>
      <c r="G2" s="6">
        <f>F2+p_h</f>
        <v/>
      </c>
      <c r="H2" s="6">
        <f>G2+p_h</f>
        <v/>
      </c>
      <c r="I2" s="6">
        <f>H2+p_h</f>
        <v/>
      </c>
      <c r="J2" s="6">
        <f>I2+p_h</f>
        <v/>
      </c>
      <c r="K2" s="6">
        <f>J2+p_h</f>
        <v/>
      </c>
      <c r="L2" s="6">
        <f>K2+p_h</f>
        <v/>
      </c>
      <c r="M2" s="6">
        <f>L2+p_h</f>
        <v/>
      </c>
      <c r="N2" s="6">
        <f>M2+p_h</f>
        <v/>
      </c>
      <c r="O2" s="6">
        <f>N2+p_h</f>
        <v/>
      </c>
      <c r="P2" s="6">
        <f>O2+p_h</f>
        <v/>
      </c>
      <c r="Q2" s="6">
        <f>P2+p_h</f>
        <v/>
      </c>
      <c r="R2" s="6">
        <f>Q2+p_h</f>
        <v/>
      </c>
      <c r="S2" s="6">
        <f>R2+p_h</f>
        <v/>
      </c>
      <c r="T2" s="6">
        <f>S2+p_h</f>
        <v/>
      </c>
      <c r="U2" s="6">
        <f>T2+p_h</f>
        <v/>
      </c>
      <c r="V2" s="6">
        <f>U2+p_h</f>
        <v/>
      </c>
      <c r="W2" s="6">
        <f>V2+p_h</f>
        <v/>
      </c>
      <c r="X2" s="6">
        <f>W2+p_h</f>
        <v/>
      </c>
      <c r="Y2" s="6">
        <f>X2+p_h</f>
        <v/>
      </c>
      <c r="Z2" s="6">
        <f>Y2+p_h</f>
        <v/>
      </c>
      <c r="AA2" s="6">
        <f>Z2+p_h</f>
        <v/>
      </c>
      <c r="AB2" s="6">
        <f>AA2+p_h</f>
        <v/>
      </c>
      <c r="AC2" s="6">
        <f>AB2+p_h</f>
        <v/>
      </c>
      <c r="AD2" s="6">
        <f>AC2+p_h</f>
        <v/>
      </c>
      <c r="AE2" s="6">
        <f>AD2+p_h</f>
        <v/>
      </c>
      <c r="AF2" s="6">
        <f>AE2+p_h</f>
        <v/>
      </c>
      <c r="AG2" s="6">
        <f>AF2+p_h</f>
        <v/>
      </c>
      <c r="AH2" s="6">
        <f>AG2+p_h</f>
        <v/>
      </c>
    </row>
    <row r="3">
      <c r="A3" s="7">
        <f>32*p_h</f>
        <v/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0</v>
      </c>
      <c r="AG3" s="8" t="n">
        <v>0</v>
      </c>
      <c r="AH3" s="8" t="n">
        <v>0</v>
      </c>
    </row>
    <row r="4">
      <c r="A4" s="7">
        <f>A3-p_h</f>
        <v/>
      </c>
      <c r="B4" s="8" t="n">
        <v>0</v>
      </c>
      <c r="C4" s="8">
        <f>IF(p_reset=1,0,0.25*(D4+B4+C3+C5+p_h^2*Omega!C4))</f>
        <v/>
      </c>
      <c r="D4" s="8">
        <f>IF(p_reset=1,0,0.25*(E4+C4+D3+D5+p_h^2*Omega!D4))</f>
        <v/>
      </c>
      <c r="E4" s="8">
        <f>IF(p_reset=1,0,0.25*(F4+D4+E3+E5+p_h^2*Omega!E4))</f>
        <v/>
      </c>
      <c r="F4" s="8">
        <f>IF(p_reset=1,0,0.25*(G4+E4+F3+F5+p_h^2*Omega!F4))</f>
        <v/>
      </c>
      <c r="G4" s="8">
        <f>IF(p_reset=1,0,0.25*(H4+F4+G3+G5+p_h^2*Omega!G4))</f>
        <v/>
      </c>
      <c r="H4" s="8">
        <f>IF(p_reset=1,0,0.25*(I4+G4+H3+H5+p_h^2*Omega!H4))</f>
        <v/>
      </c>
      <c r="I4" s="8">
        <f>IF(p_reset=1,0,0.25*(J4+H4+I3+I5+p_h^2*Omega!I4))</f>
        <v/>
      </c>
      <c r="J4" s="8">
        <f>IF(p_reset=1,0,0.25*(K4+I4+J3+J5+p_h^2*Omega!J4))</f>
        <v/>
      </c>
      <c r="K4" s="8">
        <f>IF(p_reset=1,0,0.25*(L4+J4+K3+K5+p_h^2*Omega!K4))</f>
        <v/>
      </c>
      <c r="L4" s="8">
        <f>IF(p_reset=1,0,0.25*(M4+K4+L3+L5+p_h^2*Omega!L4))</f>
        <v/>
      </c>
      <c r="M4" s="8">
        <f>IF(p_reset=1,0,0.25*(N4+L4+M3+M5+p_h^2*Omega!M4))</f>
        <v/>
      </c>
      <c r="N4" s="8">
        <f>IF(p_reset=1,0,0.25*(O4+M4+N3+N5+p_h^2*Omega!N4))</f>
        <v/>
      </c>
      <c r="O4" s="8">
        <f>IF(p_reset=1,0,0.25*(P4+N4+O3+O5+p_h^2*Omega!O4))</f>
        <v/>
      </c>
      <c r="P4" s="8">
        <f>IF(p_reset=1,0,0.25*(Q4+O4+P3+P5+p_h^2*Omega!P4))</f>
        <v/>
      </c>
      <c r="Q4" s="8">
        <f>IF(p_reset=1,0,0.25*(R4+P4+Q3+Q5+p_h^2*Omega!Q4))</f>
        <v/>
      </c>
      <c r="R4" s="8">
        <f>IF(p_reset=1,0,0.25*(S4+Q4+R3+R5+p_h^2*Omega!R4))</f>
        <v/>
      </c>
      <c r="S4" s="8">
        <f>IF(p_reset=1,0,0.25*(T4+R4+S3+S5+p_h^2*Omega!S4))</f>
        <v/>
      </c>
      <c r="T4" s="8">
        <f>IF(p_reset=1,0,0.25*(U4+S4+T3+T5+p_h^2*Omega!T4))</f>
        <v/>
      </c>
      <c r="U4" s="8">
        <f>IF(p_reset=1,0,0.25*(V4+T4+U3+U5+p_h^2*Omega!U4))</f>
        <v/>
      </c>
      <c r="V4" s="8">
        <f>IF(p_reset=1,0,0.25*(W4+U4+V3+V5+p_h^2*Omega!V4))</f>
        <v/>
      </c>
      <c r="W4" s="8">
        <f>IF(p_reset=1,0,0.25*(X4+V4+W3+W5+p_h^2*Omega!W4))</f>
        <v/>
      </c>
      <c r="X4" s="8">
        <f>IF(p_reset=1,0,0.25*(Y4+W4+X3+X5+p_h^2*Omega!X4))</f>
        <v/>
      </c>
      <c r="Y4" s="8">
        <f>IF(p_reset=1,0,0.25*(Z4+X4+Y3+Y5+p_h^2*Omega!Y4))</f>
        <v/>
      </c>
      <c r="Z4" s="8">
        <f>IF(p_reset=1,0,0.25*(AA4+Y4+Z3+Z5+p_h^2*Omega!Z4))</f>
        <v/>
      </c>
      <c r="AA4" s="8">
        <f>IF(p_reset=1,0,0.25*(AB4+Z4+AA3+AA5+p_h^2*Omega!AA4))</f>
        <v/>
      </c>
      <c r="AB4" s="8">
        <f>IF(p_reset=1,0,0.25*(AC4+AA4+AB3+AB5+p_h^2*Omega!AB4))</f>
        <v/>
      </c>
      <c r="AC4" s="8">
        <f>IF(p_reset=1,0,0.25*(AD4+AB4+AC3+AC5+p_h^2*Omega!AC4))</f>
        <v/>
      </c>
      <c r="AD4" s="8">
        <f>IF(p_reset=1,0,0.25*(AE4+AC4+AD3+AD5+p_h^2*Omega!AD4))</f>
        <v/>
      </c>
      <c r="AE4" s="8">
        <f>IF(p_reset=1,0,0.25*(AF4+AD4+AE3+AE5+p_h^2*Omega!AE4))</f>
        <v/>
      </c>
      <c r="AF4" s="8">
        <f>IF(p_reset=1,0,0.25*(AG4+AE4+AF3+AF5+p_h^2*Omega!AF4))</f>
        <v/>
      </c>
      <c r="AG4" s="8">
        <f>IF(p_reset=1,0,0.25*(AH4+AF4+AG3+AG5+p_h^2*Omega!AG4))</f>
        <v/>
      </c>
      <c r="AH4" s="8" t="n">
        <v>0</v>
      </c>
    </row>
    <row r="5">
      <c r="A5" s="7">
        <f>A4-p_h</f>
        <v/>
      </c>
      <c r="B5" s="8" t="n">
        <v>0</v>
      </c>
      <c r="C5" s="8">
        <f>IF(p_reset=1,0,0.25*(D5+B5+C4+C6+p_h^2*Omega!C5))</f>
        <v/>
      </c>
      <c r="D5" s="8">
        <f>IF(p_reset=1,0,0.25*(E5+C5+D4+D6+p_h^2*Omega!D5))</f>
        <v/>
      </c>
      <c r="E5" s="8">
        <f>IF(p_reset=1,0,0.25*(F5+D5+E4+E6+p_h^2*Omega!E5))</f>
        <v/>
      </c>
      <c r="F5" s="8">
        <f>IF(p_reset=1,0,0.25*(G5+E5+F4+F6+p_h^2*Omega!F5))</f>
        <v/>
      </c>
      <c r="G5" s="8">
        <f>IF(p_reset=1,0,0.25*(H5+F5+G4+G6+p_h^2*Omega!G5))</f>
        <v/>
      </c>
      <c r="H5" s="8">
        <f>IF(p_reset=1,0,0.25*(I5+G5+H4+H6+p_h^2*Omega!H5))</f>
        <v/>
      </c>
      <c r="I5" s="8">
        <f>IF(p_reset=1,0,0.25*(J5+H5+I4+I6+p_h^2*Omega!I5))</f>
        <v/>
      </c>
      <c r="J5" s="8">
        <f>IF(p_reset=1,0,0.25*(K5+I5+J4+J6+p_h^2*Omega!J5))</f>
        <v/>
      </c>
      <c r="K5" s="8">
        <f>IF(p_reset=1,0,0.25*(L5+J5+K4+K6+p_h^2*Omega!K5))</f>
        <v/>
      </c>
      <c r="L5" s="8">
        <f>IF(p_reset=1,0,0.25*(M5+K5+L4+L6+p_h^2*Omega!L5))</f>
        <v/>
      </c>
      <c r="M5" s="8">
        <f>IF(p_reset=1,0,0.25*(N5+L5+M4+M6+p_h^2*Omega!M5))</f>
        <v/>
      </c>
      <c r="N5" s="8">
        <f>IF(p_reset=1,0,0.25*(O5+M5+N4+N6+p_h^2*Omega!N5))</f>
        <v/>
      </c>
      <c r="O5" s="8">
        <f>IF(p_reset=1,0,0.25*(P5+N5+O4+O6+p_h^2*Omega!O5))</f>
        <v/>
      </c>
      <c r="P5" s="8">
        <f>IF(p_reset=1,0,0.25*(Q5+O5+P4+P6+p_h^2*Omega!P5))</f>
        <v/>
      </c>
      <c r="Q5" s="8">
        <f>IF(p_reset=1,0,0.25*(R5+P5+Q4+Q6+p_h^2*Omega!Q5))</f>
        <v/>
      </c>
      <c r="R5" s="8">
        <f>IF(p_reset=1,0,0.25*(S5+Q5+R4+R6+p_h^2*Omega!R5))</f>
        <v/>
      </c>
      <c r="S5" s="8">
        <f>IF(p_reset=1,0,0.25*(T5+R5+S4+S6+p_h^2*Omega!S5))</f>
        <v/>
      </c>
      <c r="T5" s="8">
        <f>IF(p_reset=1,0,0.25*(U5+S5+T4+T6+p_h^2*Omega!T5))</f>
        <v/>
      </c>
      <c r="U5" s="8">
        <f>IF(p_reset=1,0,0.25*(V5+T5+U4+U6+p_h^2*Omega!U5))</f>
        <v/>
      </c>
      <c r="V5" s="8">
        <f>IF(p_reset=1,0,0.25*(W5+U5+V4+V6+p_h^2*Omega!V5))</f>
        <v/>
      </c>
      <c r="W5" s="8">
        <f>IF(p_reset=1,0,0.25*(X5+V5+W4+W6+p_h^2*Omega!W5))</f>
        <v/>
      </c>
      <c r="X5" s="8">
        <f>IF(p_reset=1,0,0.25*(Y5+W5+X4+X6+p_h^2*Omega!X5))</f>
        <v/>
      </c>
      <c r="Y5" s="8">
        <f>IF(p_reset=1,0,0.25*(Z5+X5+Y4+Y6+p_h^2*Omega!Y5))</f>
        <v/>
      </c>
      <c r="Z5" s="8">
        <f>IF(p_reset=1,0,0.25*(AA5+Y5+Z4+Z6+p_h^2*Omega!Z5))</f>
        <v/>
      </c>
      <c r="AA5" s="8">
        <f>IF(p_reset=1,0,0.25*(AB5+Z5+AA4+AA6+p_h^2*Omega!AA5))</f>
        <v/>
      </c>
      <c r="AB5" s="8">
        <f>IF(p_reset=1,0,0.25*(AC5+AA5+AB4+AB6+p_h^2*Omega!AB5))</f>
        <v/>
      </c>
      <c r="AC5" s="8">
        <f>IF(p_reset=1,0,0.25*(AD5+AB5+AC4+AC6+p_h^2*Omega!AC5))</f>
        <v/>
      </c>
      <c r="AD5" s="8">
        <f>IF(p_reset=1,0,0.25*(AE5+AC5+AD4+AD6+p_h^2*Omega!AD5))</f>
        <v/>
      </c>
      <c r="AE5" s="8">
        <f>IF(p_reset=1,0,0.25*(AF5+AD5+AE4+AE6+p_h^2*Omega!AE5))</f>
        <v/>
      </c>
      <c r="AF5" s="8">
        <f>IF(p_reset=1,0,0.25*(AG5+AE5+AF4+AF6+p_h^2*Omega!AF5))</f>
        <v/>
      </c>
      <c r="AG5" s="8">
        <f>IF(p_reset=1,0,0.25*(AH5+AF5+AG4+AG6+p_h^2*Omega!AG5))</f>
        <v/>
      </c>
      <c r="AH5" s="8" t="n">
        <v>0</v>
      </c>
    </row>
    <row r="6">
      <c r="A6" s="7">
        <f>A5-p_h</f>
        <v/>
      </c>
      <c r="B6" s="8" t="n">
        <v>0</v>
      </c>
      <c r="C6" s="8">
        <f>IF(p_reset=1,0,0.25*(D6+B6+C5+C7+p_h^2*Omega!C6))</f>
        <v/>
      </c>
      <c r="D6" s="8">
        <f>IF(p_reset=1,0,0.25*(E6+C6+D5+D7+p_h^2*Omega!D6))</f>
        <v/>
      </c>
      <c r="E6" s="8">
        <f>IF(p_reset=1,0,0.25*(F6+D6+E5+E7+p_h^2*Omega!E6))</f>
        <v/>
      </c>
      <c r="F6" s="8">
        <f>IF(p_reset=1,0,0.25*(G6+E6+F5+F7+p_h^2*Omega!F6))</f>
        <v/>
      </c>
      <c r="G6" s="8">
        <f>IF(p_reset=1,0,0.25*(H6+F6+G5+G7+p_h^2*Omega!G6))</f>
        <v/>
      </c>
      <c r="H6" s="8">
        <f>IF(p_reset=1,0,0.25*(I6+G6+H5+H7+p_h^2*Omega!H6))</f>
        <v/>
      </c>
      <c r="I6" s="8">
        <f>IF(p_reset=1,0,0.25*(J6+H6+I5+I7+p_h^2*Omega!I6))</f>
        <v/>
      </c>
      <c r="J6" s="8">
        <f>IF(p_reset=1,0,0.25*(K6+I6+J5+J7+p_h^2*Omega!J6))</f>
        <v/>
      </c>
      <c r="K6" s="8">
        <f>IF(p_reset=1,0,0.25*(L6+J6+K5+K7+p_h^2*Omega!K6))</f>
        <v/>
      </c>
      <c r="L6" s="8">
        <f>IF(p_reset=1,0,0.25*(M6+K6+L5+L7+p_h^2*Omega!L6))</f>
        <v/>
      </c>
      <c r="M6" s="8">
        <f>IF(p_reset=1,0,0.25*(N6+L6+M5+M7+p_h^2*Omega!M6))</f>
        <v/>
      </c>
      <c r="N6" s="8">
        <f>IF(p_reset=1,0,0.25*(O6+M6+N5+N7+p_h^2*Omega!N6))</f>
        <v/>
      </c>
      <c r="O6" s="8">
        <f>IF(p_reset=1,0,0.25*(P6+N6+O5+O7+p_h^2*Omega!O6))</f>
        <v/>
      </c>
      <c r="P6" s="8">
        <f>IF(p_reset=1,0,0.25*(Q6+O6+P5+P7+p_h^2*Omega!P6))</f>
        <v/>
      </c>
      <c r="Q6" s="8">
        <f>IF(p_reset=1,0,0.25*(R6+P6+Q5+Q7+p_h^2*Omega!Q6))</f>
        <v/>
      </c>
      <c r="R6" s="8">
        <f>IF(p_reset=1,0,0.25*(S6+Q6+R5+R7+p_h^2*Omega!R6))</f>
        <v/>
      </c>
      <c r="S6" s="8">
        <f>IF(p_reset=1,0,0.25*(T6+R6+S5+S7+p_h^2*Omega!S6))</f>
        <v/>
      </c>
      <c r="T6" s="8">
        <f>IF(p_reset=1,0,0.25*(U6+S6+T5+T7+p_h^2*Omega!T6))</f>
        <v/>
      </c>
      <c r="U6" s="8">
        <f>IF(p_reset=1,0,0.25*(V6+T6+U5+U7+p_h^2*Omega!U6))</f>
        <v/>
      </c>
      <c r="V6" s="8">
        <f>IF(p_reset=1,0,0.25*(W6+U6+V5+V7+p_h^2*Omega!V6))</f>
        <v/>
      </c>
      <c r="W6" s="8">
        <f>IF(p_reset=1,0,0.25*(X6+V6+W5+W7+p_h^2*Omega!W6))</f>
        <v/>
      </c>
      <c r="X6" s="8">
        <f>IF(p_reset=1,0,0.25*(Y6+W6+X5+X7+p_h^2*Omega!X6))</f>
        <v/>
      </c>
      <c r="Y6" s="8">
        <f>IF(p_reset=1,0,0.25*(Z6+X6+Y5+Y7+p_h^2*Omega!Y6))</f>
        <v/>
      </c>
      <c r="Z6" s="8">
        <f>IF(p_reset=1,0,0.25*(AA6+Y6+Z5+Z7+p_h^2*Omega!Z6))</f>
        <v/>
      </c>
      <c r="AA6" s="8">
        <f>IF(p_reset=1,0,0.25*(AB6+Z6+AA5+AA7+p_h^2*Omega!AA6))</f>
        <v/>
      </c>
      <c r="AB6" s="8">
        <f>IF(p_reset=1,0,0.25*(AC6+AA6+AB5+AB7+p_h^2*Omega!AB6))</f>
        <v/>
      </c>
      <c r="AC6" s="8">
        <f>IF(p_reset=1,0,0.25*(AD6+AB6+AC5+AC7+p_h^2*Omega!AC6))</f>
        <v/>
      </c>
      <c r="AD6" s="8">
        <f>IF(p_reset=1,0,0.25*(AE6+AC6+AD5+AD7+p_h^2*Omega!AD6))</f>
        <v/>
      </c>
      <c r="AE6" s="8">
        <f>IF(p_reset=1,0,0.25*(AF6+AD6+AE5+AE7+p_h^2*Omega!AE6))</f>
        <v/>
      </c>
      <c r="AF6" s="8">
        <f>IF(p_reset=1,0,0.25*(AG6+AE6+AF5+AF7+p_h^2*Omega!AF6))</f>
        <v/>
      </c>
      <c r="AG6" s="8">
        <f>IF(p_reset=1,0,0.25*(AH6+AF6+AG5+AG7+p_h^2*Omega!AG6))</f>
        <v/>
      </c>
      <c r="AH6" s="8" t="n">
        <v>0</v>
      </c>
    </row>
    <row r="7">
      <c r="A7" s="7">
        <f>A6-p_h</f>
        <v/>
      </c>
      <c r="B7" s="8" t="n">
        <v>0</v>
      </c>
      <c r="C7" s="8">
        <f>IF(p_reset=1,0,0.25*(D7+B7+C6+C8+p_h^2*Omega!C7))</f>
        <v/>
      </c>
      <c r="D7" s="8">
        <f>IF(p_reset=1,0,0.25*(E7+C7+D6+D8+p_h^2*Omega!D7))</f>
        <v/>
      </c>
      <c r="E7" s="8">
        <f>IF(p_reset=1,0,0.25*(F7+D7+E6+E8+p_h^2*Omega!E7))</f>
        <v/>
      </c>
      <c r="F7" s="8">
        <f>IF(p_reset=1,0,0.25*(G7+E7+F6+F8+p_h^2*Omega!F7))</f>
        <v/>
      </c>
      <c r="G7" s="8">
        <f>IF(p_reset=1,0,0.25*(H7+F7+G6+G8+p_h^2*Omega!G7))</f>
        <v/>
      </c>
      <c r="H7" s="8">
        <f>IF(p_reset=1,0,0.25*(I7+G7+H6+H8+p_h^2*Omega!H7))</f>
        <v/>
      </c>
      <c r="I7" s="8">
        <f>IF(p_reset=1,0,0.25*(J7+H7+I6+I8+p_h^2*Omega!I7))</f>
        <v/>
      </c>
      <c r="J7" s="8">
        <f>IF(p_reset=1,0,0.25*(K7+I7+J6+J8+p_h^2*Omega!J7))</f>
        <v/>
      </c>
      <c r="K7" s="8">
        <f>IF(p_reset=1,0,0.25*(L7+J7+K6+K8+p_h^2*Omega!K7))</f>
        <v/>
      </c>
      <c r="L7" s="8">
        <f>IF(p_reset=1,0,0.25*(M7+K7+L6+L8+p_h^2*Omega!L7))</f>
        <v/>
      </c>
      <c r="M7" s="8">
        <f>IF(p_reset=1,0,0.25*(N7+L7+M6+M8+p_h^2*Omega!M7))</f>
        <v/>
      </c>
      <c r="N7" s="8">
        <f>IF(p_reset=1,0,0.25*(O7+M7+N6+N8+p_h^2*Omega!N7))</f>
        <v/>
      </c>
      <c r="O7" s="8">
        <f>IF(p_reset=1,0,0.25*(P7+N7+O6+O8+p_h^2*Omega!O7))</f>
        <v/>
      </c>
      <c r="P7" s="8">
        <f>IF(p_reset=1,0,0.25*(Q7+O7+P6+P8+p_h^2*Omega!P7))</f>
        <v/>
      </c>
      <c r="Q7" s="8">
        <f>IF(p_reset=1,0,0.25*(R7+P7+Q6+Q8+p_h^2*Omega!Q7))</f>
        <v/>
      </c>
      <c r="R7" s="8">
        <f>IF(p_reset=1,0,0.25*(S7+Q7+R6+R8+p_h^2*Omega!R7))</f>
        <v/>
      </c>
      <c r="S7" s="8">
        <f>IF(p_reset=1,0,0.25*(T7+R7+S6+S8+p_h^2*Omega!S7))</f>
        <v/>
      </c>
      <c r="T7" s="8">
        <f>IF(p_reset=1,0,0.25*(U7+S7+T6+T8+p_h^2*Omega!T7))</f>
        <v/>
      </c>
      <c r="U7" s="8">
        <f>IF(p_reset=1,0,0.25*(V7+T7+U6+U8+p_h^2*Omega!U7))</f>
        <v/>
      </c>
      <c r="V7" s="8">
        <f>IF(p_reset=1,0,0.25*(W7+U7+V6+V8+p_h^2*Omega!V7))</f>
        <v/>
      </c>
      <c r="W7" s="8">
        <f>IF(p_reset=1,0,0.25*(X7+V7+W6+W8+p_h^2*Omega!W7))</f>
        <v/>
      </c>
      <c r="X7" s="8">
        <f>IF(p_reset=1,0,0.25*(Y7+W7+X6+X8+p_h^2*Omega!X7))</f>
        <v/>
      </c>
      <c r="Y7" s="8">
        <f>IF(p_reset=1,0,0.25*(Z7+X7+Y6+Y8+p_h^2*Omega!Y7))</f>
        <v/>
      </c>
      <c r="Z7" s="8">
        <f>IF(p_reset=1,0,0.25*(AA7+Y7+Z6+Z8+p_h^2*Omega!Z7))</f>
        <v/>
      </c>
      <c r="AA7" s="8">
        <f>IF(p_reset=1,0,0.25*(AB7+Z7+AA6+AA8+p_h^2*Omega!AA7))</f>
        <v/>
      </c>
      <c r="AB7" s="8">
        <f>IF(p_reset=1,0,0.25*(AC7+AA7+AB6+AB8+p_h^2*Omega!AB7))</f>
        <v/>
      </c>
      <c r="AC7" s="8">
        <f>IF(p_reset=1,0,0.25*(AD7+AB7+AC6+AC8+p_h^2*Omega!AC7))</f>
        <v/>
      </c>
      <c r="AD7" s="8">
        <f>IF(p_reset=1,0,0.25*(AE7+AC7+AD6+AD8+p_h^2*Omega!AD7))</f>
        <v/>
      </c>
      <c r="AE7" s="8">
        <f>IF(p_reset=1,0,0.25*(AF7+AD7+AE6+AE8+p_h^2*Omega!AE7))</f>
        <v/>
      </c>
      <c r="AF7" s="8">
        <f>IF(p_reset=1,0,0.25*(AG7+AE7+AF6+AF8+p_h^2*Omega!AF7))</f>
        <v/>
      </c>
      <c r="AG7" s="8">
        <f>IF(p_reset=1,0,0.25*(AH7+AF7+AG6+AG8+p_h^2*Omega!AG7))</f>
        <v/>
      </c>
      <c r="AH7" s="8" t="n">
        <v>0</v>
      </c>
    </row>
    <row r="8">
      <c r="A8" s="7">
        <f>A7-p_h</f>
        <v/>
      </c>
      <c r="B8" s="8" t="n">
        <v>0</v>
      </c>
      <c r="C8" s="8">
        <f>IF(p_reset=1,0,0.25*(D8+B8+C7+C9+p_h^2*Omega!C8))</f>
        <v/>
      </c>
      <c r="D8" s="8">
        <f>IF(p_reset=1,0,0.25*(E8+C8+D7+D9+p_h^2*Omega!D8))</f>
        <v/>
      </c>
      <c r="E8" s="8">
        <f>IF(p_reset=1,0,0.25*(F8+D8+E7+E9+p_h^2*Omega!E8))</f>
        <v/>
      </c>
      <c r="F8" s="8">
        <f>IF(p_reset=1,0,0.25*(G8+E8+F7+F9+p_h^2*Omega!F8))</f>
        <v/>
      </c>
      <c r="G8" s="8">
        <f>IF(p_reset=1,0,0.25*(H8+F8+G7+G9+p_h^2*Omega!G8))</f>
        <v/>
      </c>
      <c r="H8" s="8">
        <f>IF(p_reset=1,0,0.25*(I8+G8+H7+H9+p_h^2*Omega!H8))</f>
        <v/>
      </c>
      <c r="I8" s="8">
        <f>IF(p_reset=1,0,0.25*(J8+H8+I7+I9+p_h^2*Omega!I8))</f>
        <v/>
      </c>
      <c r="J8" s="8">
        <f>IF(p_reset=1,0,0.25*(K8+I8+J7+J9+p_h^2*Omega!J8))</f>
        <v/>
      </c>
      <c r="K8" s="8">
        <f>IF(p_reset=1,0,0.25*(L8+J8+K7+K9+p_h^2*Omega!K8))</f>
        <v/>
      </c>
      <c r="L8" s="8">
        <f>IF(p_reset=1,0,0.25*(M8+K8+L7+L9+p_h^2*Omega!L8))</f>
        <v/>
      </c>
      <c r="M8" s="8">
        <f>IF(p_reset=1,0,0.25*(N8+L8+M7+M9+p_h^2*Omega!M8))</f>
        <v/>
      </c>
      <c r="N8" s="8">
        <f>IF(p_reset=1,0,0.25*(O8+M8+N7+N9+p_h^2*Omega!N8))</f>
        <v/>
      </c>
      <c r="O8" s="8">
        <f>IF(p_reset=1,0,0.25*(P8+N8+O7+O9+p_h^2*Omega!O8))</f>
        <v/>
      </c>
      <c r="P8" s="8">
        <f>IF(p_reset=1,0,0.25*(Q8+O8+P7+P9+p_h^2*Omega!P8))</f>
        <v/>
      </c>
      <c r="Q8" s="8">
        <f>IF(p_reset=1,0,0.25*(R8+P8+Q7+Q9+p_h^2*Omega!Q8))</f>
        <v/>
      </c>
      <c r="R8" s="8">
        <f>IF(p_reset=1,0,0.25*(S8+Q8+R7+R9+p_h^2*Omega!R8))</f>
        <v/>
      </c>
      <c r="S8" s="8">
        <f>IF(p_reset=1,0,0.25*(T8+R8+S7+S9+p_h^2*Omega!S8))</f>
        <v/>
      </c>
      <c r="T8" s="8">
        <f>IF(p_reset=1,0,0.25*(U8+S8+T7+T9+p_h^2*Omega!T8))</f>
        <v/>
      </c>
      <c r="U8" s="8">
        <f>IF(p_reset=1,0,0.25*(V8+T8+U7+U9+p_h^2*Omega!U8))</f>
        <v/>
      </c>
      <c r="V8" s="8">
        <f>IF(p_reset=1,0,0.25*(W8+U8+V7+V9+p_h^2*Omega!V8))</f>
        <v/>
      </c>
      <c r="W8" s="8">
        <f>IF(p_reset=1,0,0.25*(X8+V8+W7+W9+p_h^2*Omega!W8))</f>
        <v/>
      </c>
      <c r="X8" s="8">
        <f>IF(p_reset=1,0,0.25*(Y8+W8+X7+X9+p_h^2*Omega!X8))</f>
        <v/>
      </c>
      <c r="Y8" s="8">
        <f>IF(p_reset=1,0,0.25*(Z8+X8+Y7+Y9+p_h^2*Omega!Y8))</f>
        <v/>
      </c>
      <c r="Z8" s="8">
        <f>IF(p_reset=1,0,0.25*(AA8+Y8+Z7+Z9+p_h^2*Omega!Z8))</f>
        <v/>
      </c>
      <c r="AA8" s="8">
        <f>IF(p_reset=1,0,0.25*(AB8+Z8+AA7+AA9+p_h^2*Omega!AA8))</f>
        <v/>
      </c>
      <c r="AB8" s="8">
        <f>IF(p_reset=1,0,0.25*(AC8+AA8+AB7+AB9+p_h^2*Omega!AB8))</f>
        <v/>
      </c>
      <c r="AC8" s="8">
        <f>IF(p_reset=1,0,0.25*(AD8+AB8+AC7+AC9+p_h^2*Omega!AC8))</f>
        <v/>
      </c>
      <c r="AD8" s="8">
        <f>IF(p_reset=1,0,0.25*(AE8+AC8+AD7+AD9+p_h^2*Omega!AD8))</f>
        <v/>
      </c>
      <c r="AE8" s="8">
        <f>IF(p_reset=1,0,0.25*(AF8+AD8+AE7+AE9+p_h^2*Omega!AE8))</f>
        <v/>
      </c>
      <c r="AF8" s="8">
        <f>IF(p_reset=1,0,0.25*(AG8+AE8+AF7+AF9+p_h^2*Omega!AF8))</f>
        <v/>
      </c>
      <c r="AG8" s="8">
        <f>IF(p_reset=1,0,0.25*(AH8+AF8+AG7+AG9+p_h^2*Omega!AG8))</f>
        <v/>
      </c>
      <c r="AH8" s="8" t="n">
        <v>0</v>
      </c>
    </row>
    <row r="9">
      <c r="A9" s="7">
        <f>A8-p_h</f>
        <v/>
      </c>
      <c r="B9" s="8" t="n">
        <v>0</v>
      </c>
      <c r="C9" s="8">
        <f>IF(p_reset=1,0,0.25*(D9+B9+C8+C10+p_h^2*Omega!C9))</f>
        <v/>
      </c>
      <c r="D9" s="8">
        <f>IF(p_reset=1,0,0.25*(E9+C9+D8+D10+p_h^2*Omega!D9))</f>
        <v/>
      </c>
      <c r="E9" s="8">
        <f>IF(p_reset=1,0,0.25*(F9+D9+E8+E10+p_h^2*Omega!E9))</f>
        <v/>
      </c>
      <c r="F9" s="8">
        <f>IF(p_reset=1,0,0.25*(G9+E9+F8+F10+p_h^2*Omega!F9))</f>
        <v/>
      </c>
      <c r="G9" s="8">
        <f>IF(p_reset=1,0,0.25*(H9+F9+G8+G10+p_h^2*Omega!G9))</f>
        <v/>
      </c>
      <c r="H9" s="8">
        <f>IF(p_reset=1,0,0.25*(I9+G9+H8+H10+p_h^2*Omega!H9))</f>
        <v/>
      </c>
      <c r="I9" s="8">
        <f>IF(p_reset=1,0,0.25*(J9+H9+I8+I10+p_h^2*Omega!I9))</f>
        <v/>
      </c>
      <c r="J9" s="8">
        <f>IF(p_reset=1,0,0.25*(K9+I9+J8+J10+p_h^2*Omega!J9))</f>
        <v/>
      </c>
      <c r="K9" s="8">
        <f>IF(p_reset=1,0,0.25*(L9+J9+K8+K10+p_h^2*Omega!K9))</f>
        <v/>
      </c>
      <c r="L9" s="8">
        <f>IF(p_reset=1,0,0.25*(M9+K9+L8+L10+p_h^2*Omega!L9))</f>
        <v/>
      </c>
      <c r="M9" s="8">
        <f>IF(p_reset=1,0,0.25*(N9+L9+M8+M10+p_h^2*Omega!M9))</f>
        <v/>
      </c>
      <c r="N9" s="8">
        <f>IF(p_reset=1,0,0.25*(O9+M9+N8+N10+p_h^2*Omega!N9))</f>
        <v/>
      </c>
      <c r="O9" s="8">
        <f>IF(p_reset=1,0,0.25*(P9+N9+O8+O10+p_h^2*Omega!O9))</f>
        <v/>
      </c>
      <c r="P9" s="8">
        <f>IF(p_reset=1,0,0.25*(Q9+O9+P8+P10+p_h^2*Omega!P9))</f>
        <v/>
      </c>
      <c r="Q9" s="8">
        <f>IF(p_reset=1,0,0.25*(R9+P9+Q8+Q10+p_h^2*Omega!Q9))</f>
        <v/>
      </c>
      <c r="R9" s="8">
        <f>IF(p_reset=1,0,0.25*(S9+Q9+R8+R10+p_h^2*Omega!R9))</f>
        <v/>
      </c>
      <c r="S9" s="8">
        <f>IF(p_reset=1,0,0.25*(T9+R9+S8+S10+p_h^2*Omega!S9))</f>
        <v/>
      </c>
      <c r="T9" s="8">
        <f>IF(p_reset=1,0,0.25*(U9+S9+T8+T10+p_h^2*Omega!T9))</f>
        <v/>
      </c>
      <c r="U9" s="8">
        <f>IF(p_reset=1,0,0.25*(V9+T9+U8+U10+p_h^2*Omega!U9))</f>
        <v/>
      </c>
      <c r="V9" s="8">
        <f>IF(p_reset=1,0,0.25*(W9+U9+V8+V10+p_h^2*Omega!V9))</f>
        <v/>
      </c>
      <c r="W9" s="8">
        <f>IF(p_reset=1,0,0.25*(X9+V9+W8+W10+p_h^2*Omega!W9))</f>
        <v/>
      </c>
      <c r="X9" s="8">
        <f>IF(p_reset=1,0,0.25*(Y9+W9+X8+X10+p_h^2*Omega!X9))</f>
        <v/>
      </c>
      <c r="Y9" s="8">
        <f>IF(p_reset=1,0,0.25*(Z9+X9+Y8+Y10+p_h^2*Omega!Y9))</f>
        <v/>
      </c>
      <c r="Z9" s="8">
        <f>IF(p_reset=1,0,0.25*(AA9+Y9+Z8+Z10+p_h^2*Omega!Z9))</f>
        <v/>
      </c>
      <c r="AA9" s="8">
        <f>IF(p_reset=1,0,0.25*(AB9+Z9+AA8+AA10+p_h^2*Omega!AA9))</f>
        <v/>
      </c>
      <c r="AB9" s="8">
        <f>IF(p_reset=1,0,0.25*(AC9+AA9+AB8+AB10+p_h^2*Omega!AB9))</f>
        <v/>
      </c>
      <c r="AC9" s="8">
        <f>IF(p_reset=1,0,0.25*(AD9+AB9+AC8+AC10+p_h^2*Omega!AC9))</f>
        <v/>
      </c>
      <c r="AD9" s="8">
        <f>IF(p_reset=1,0,0.25*(AE9+AC9+AD8+AD10+p_h^2*Omega!AD9))</f>
        <v/>
      </c>
      <c r="AE9" s="8">
        <f>IF(p_reset=1,0,0.25*(AF9+AD9+AE8+AE10+p_h^2*Omega!AE9))</f>
        <v/>
      </c>
      <c r="AF9" s="8">
        <f>IF(p_reset=1,0,0.25*(AG9+AE9+AF8+AF10+p_h^2*Omega!AF9))</f>
        <v/>
      </c>
      <c r="AG9" s="8">
        <f>IF(p_reset=1,0,0.25*(AH9+AF9+AG8+AG10+p_h^2*Omega!AG9))</f>
        <v/>
      </c>
      <c r="AH9" s="8" t="n">
        <v>0</v>
      </c>
    </row>
    <row r="10">
      <c r="A10" s="7">
        <f>A9-p_h</f>
        <v/>
      </c>
      <c r="B10" s="8" t="n">
        <v>0</v>
      </c>
      <c r="C10" s="8">
        <f>IF(p_reset=1,0,0.25*(D10+B10+C9+C11+p_h^2*Omega!C10))</f>
        <v/>
      </c>
      <c r="D10" s="8">
        <f>IF(p_reset=1,0,0.25*(E10+C10+D9+D11+p_h^2*Omega!D10))</f>
        <v/>
      </c>
      <c r="E10" s="8">
        <f>IF(p_reset=1,0,0.25*(F10+D10+E9+E11+p_h^2*Omega!E10))</f>
        <v/>
      </c>
      <c r="F10" s="8">
        <f>IF(p_reset=1,0,0.25*(G10+E10+F9+F11+p_h^2*Omega!F10))</f>
        <v/>
      </c>
      <c r="G10" s="8">
        <f>IF(p_reset=1,0,0.25*(H10+F10+G9+G11+p_h^2*Omega!G10))</f>
        <v/>
      </c>
      <c r="H10" s="8">
        <f>IF(p_reset=1,0,0.25*(I10+G10+H9+H11+p_h^2*Omega!H10))</f>
        <v/>
      </c>
      <c r="I10" s="8">
        <f>IF(p_reset=1,0,0.25*(J10+H10+I9+I11+p_h^2*Omega!I10))</f>
        <v/>
      </c>
      <c r="J10" s="8">
        <f>IF(p_reset=1,0,0.25*(K10+I10+J9+J11+p_h^2*Omega!J10))</f>
        <v/>
      </c>
      <c r="K10" s="8">
        <f>IF(p_reset=1,0,0.25*(L10+J10+K9+K11+p_h^2*Omega!K10))</f>
        <v/>
      </c>
      <c r="L10" s="8">
        <f>IF(p_reset=1,0,0.25*(M10+K10+L9+L11+p_h^2*Omega!L10))</f>
        <v/>
      </c>
      <c r="M10" s="8">
        <f>IF(p_reset=1,0,0.25*(N10+L10+M9+M11+p_h^2*Omega!M10))</f>
        <v/>
      </c>
      <c r="N10" s="8">
        <f>IF(p_reset=1,0,0.25*(O10+M10+N9+N11+p_h^2*Omega!N10))</f>
        <v/>
      </c>
      <c r="O10" s="8">
        <f>IF(p_reset=1,0,0.25*(P10+N10+O9+O11+p_h^2*Omega!O10))</f>
        <v/>
      </c>
      <c r="P10" s="8">
        <f>IF(p_reset=1,0,0.25*(Q10+O10+P9+P11+p_h^2*Omega!P10))</f>
        <v/>
      </c>
      <c r="Q10" s="8">
        <f>IF(p_reset=1,0,0.25*(R10+P10+Q9+Q11+p_h^2*Omega!Q10))</f>
        <v/>
      </c>
      <c r="R10" s="8">
        <f>IF(p_reset=1,0,0.25*(S10+Q10+R9+R11+p_h^2*Omega!R10))</f>
        <v/>
      </c>
      <c r="S10" s="8">
        <f>IF(p_reset=1,0,0.25*(T10+R10+S9+S11+p_h^2*Omega!S10))</f>
        <v/>
      </c>
      <c r="T10" s="8">
        <f>IF(p_reset=1,0,0.25*(U10+S10+T9+T11+p_h^2*Omega!T10))</f>
        <v/>
      </c>
      <c r="U10" s="8">
        <f>IF(p_reset=1,0,0.25*(V10+T10+U9+U11+p_h^2*Omega!U10))</f>
        <v/>
      </c>
      <c r="V10" s="8">
        <f>IF(p_reset=1,0,0.25*(W10+U10+V9+V11+p_h^2*Omega!V10))</f>
        <v/>
      </c>
      <c r="W10" s="8">
        <f>IF(p_reset=1,0,0.25*(X10+V10+W9+W11+p_h^2*Omega!W10))</f>
        <v/>
      </c>
      <c r="X10" s="8">
        <f>IF(p_reset=1,0,0.25*(Y10+W10+X9+X11+p_h^2*Omega!X10))</f>
        <v/>
      </c>
      <c r="Y10" s="8">
        <f>IF(p_reset=1,0,0.25*(Z10+X10+Y9+Y11+p_h^2*Omega!Y10))</f>
        <v/>
      </c>
      <c r="Z10" s="8">
        <f>IF(p_reset=1,0,0.25*(AA10+Y10+Z9+Z11+p_h^2*Omega!Z10))</f>
        <v/>
      </c>
      <c r="AA10" s="8">
        <f>IF(p_reset=1,0,0.25*(AB10+Z10+AA9+AA11+p_h^2*Omega!AA10))</f>
        <v/>
      </c>
      <c r="AB10" s="8">
        <f>IF(p_reset=1,0,0.25*(AC10+AA10+AB9+AB11+p_h^2*Omega!AB10))</f>
        <v/>
      </c>
      <c r="AC10" s="8">
        <f>IF(p_reset=1,0,0.25*(AD10+AB10+AC9+AC11+p_h^2*Omega!AC10))</f>
        <v/>
      </c>
      <c r="AD10" s="8">
        <f>IF(p_reset=1,0,0.25*(AE10+AC10+AD9+AD11+p_h^2*Omega!AD10))</f>
        <v/>
      </c>
      <c r="AE10" s="8">
        <f>IF(p_reset=1,0,0.25*(AF10+AD10+AE9+AE11+p_h^2*Omega!AE10))</f>
        <v/>
      </c>
      <c r="AF10" s="8">
        <f>IF(p_reset=1,0,0.25*(AG10+AE10+AF9+AF11+p_h^2*Omega!AF10))</f>
        <v/>
      </c>
      <c r="AG10" s="8">
        <f>IF(p_reset=1,0,0.25*(AH10+AF10+AG9+AG11+p_h^2*Omega!AG10))</f>
        <v/>
      </c>
      <c r="AH10" s="8" t="n">
        <v>0</v>
      </c>
    </row>
    <row r="11">
      <c r="A11" s="7">
        <f>A10-p_h</f>
        <v/>
      </c>
      <c r="B11" s="8" t="n">
        <v>0</v>
      </c>
      <c r="C11" s="8">
        <f>IF(p_reset=1,0,0.25*(D11+B11+C10+C12+p_h^2*Omega!C11))</f>
        <v/>
      </c>
      <c r="D11" s="8">
        <f>IF(p_reset=1,0,0.25*(E11+C11+D10+D12+p_h^2*Omega!D11))</f>
        <v/>
      </c>
      <c r="E11" s="8">
        <f>IF(p_reset=1,0,0.25*(F11+D11+E10+E12+p_h^2*Omega!E11))</f>
        <v/>
      </c>
      <c r="F11" s="8">
        <f>IF(p_reset=1,0,0.25*(G11+E11+F10+F12+p_h^2*Omega!F11))</f>
        <v/>
      </c>
      <c r="G11" s="8">
        <f>IF(p_reset=1,0,0.25*(H11+F11+G10+G12+p_h^2*Omega!G11))</f>
        <v/>
      </c>
      <c r="H11" s="8">
        <f>IF(p_reset=1,0,0.25*(I11+G11+H10+H12+p_h^2*Omega!H11))</f>
        <v/>
      </c>
      <c r="I11" s="8">
        <f>IF(p_reset=1,0,0.25*(J11+H11+I10+I12+p_h^2*Omega!I11))</f>
        <v/>
      </c>
      <c r="J11" s="8">
        <f>IF(p_reset=1,0,0.25*(K11+I11+J10+J12+p_h^2*Omega!J11))</f>
        <v/>
      </c>
      <c r="K11" s="8">
        <f>IF(p_reset=1,0,0.25*(L11+J11+K10+K12+p_h^2*Omega!K11))</f>
        <v/>
      </c>
      <c r="L11" s="8">
        <f>IF(p_reset=1,0,0.25*(M11+K11+L10+L12+p_h^2*Omega!L11))</f>
        <v/>
      </c>
      <c r="M11" s="8">
        <f>IF(p_reset=1,0,0.25*(N11+L11+M10+M12+p_h^2*Omega!M11))</f>
        <v/>
      </c>
      <c r="N11" s="8">
        <f>IF(p_reset=1,0,0.25*(O11+M11+N10+N12+p_h^2*Omega!N11))</f>
        <v/>
      </c>
      <c r="O11" s="8">
        <f>IF(p_reset=1,0,0.25*(P11+N11+O10+O12+p_h^2*Omega!O11))</f>
        <v/>
      </c>
      <c r="P11" s="8">
        <f>IF(p_reset=1,0,0.25*(Q11+O11+P10+P12+p_h^2*Omega!P11))</f>
        <v/>
      </c>
      <c r="Q11" s="8">
        <f>IF(p_reset=1,0,0.25*(R11+P11+Q10+Q12+p_h^2*Omega!Q11))</f>
        <v/>
      </c>
      <c r="R11" s="8">
        <f>IF(p_reset=1,0,0.25*(S11+Q11+R10+R12+p_h^2*Omega!R11))</f>
        <v/>
      </c>
      <c r="S11" s="8">
        <f>IF(p_reset=1,0,0.25*(T11+R11+S10+S12+p_h^2*Omega!S11))</f>
        <v/>
      </c>
      <c r="T11" s="8">
        <f>IF(p_reset=1,0,0.25*(U11+S11+T10+T12+p_h^2*Omega!T11))</f>
        <v/>
      </c>
      <c r="U11" s="8">
        <f>IF(p_reset=1,0,0.25*(V11+T11+U10+U12+p_h^2*Omega!U11))</f>
        <v/>
      </c>
      <c r="V11" s="8">
        <f>IF(p_reset=1,0,0.25*(W11+U11+V10+V12+p_h^2*Omega!V11))</f>
        <v/>
      </c>
      <c r="W11" s="8">
        <f>IF(p_reset=1,0,0.25*(X11+V11+W10+W12+p_h^2*Omega!W11))</f>
        <v/>
      </c>
      <c r="X11" s="8">
        <f>IF(p_reset=1,0,0.25*(Y11+W11+X10+X12+p_h^2*Omega!X11))</f>
        <v/>
      </c>
      <c r="Y11" s="8">
        <f>IF(p_reset=1,0,0.25*(Z11+X11+Y10+Y12+p_h^2*Omega!Y11))</f>
        <v/>
      </c>
      <c r="Z11" s="8">
        <f>IF(p_reset=1,0,0.25*(AA11+Y11+Z10+Z12+p_h^2*Omega!Z11))</f>
        <v/>
      </c>
      <c r="AA11" s="8">
        <f>IF(p_reset=1,0,0.25*(AB11+Z11+AA10+AA12+p_h^2*Omega!AA11))</f>
        <v/>
      </c>
      <c r="AB11" s="8">
        <f>IF(p_reset=1,0,0.25*(AC11+AA11+AB10+AB12+p_h^2*Omega!AB11))</f>
        <v/>
      </c>
      <c r="AC11" s="8">
        <f>IF(p_reset=1,0,0.25*(AD11+AB11+AC10+AC12+p_h^2*Omega!AC11))</f>
        <v/>
      </c>
      <c r="AD11" s="8">
        <f>IF(p_reset=1,0,0.25*(AE11+AC11+AD10+AD12+p_h^2*Omega!AD11))</f>
        <v/>
      </c>
      <c r="AE11" s="8">
        <f>IF(p_reset=1,0,0.25*(AF11+AD11+AE10+AE12+p_h^2*Omega!AE11))</f>
        <v/>
      </c>
      <c r="AF11" s="8">
        <f>IF(p_reset=1,0,0.25*(AG11+AE11+AF10+AF12+p_h^2*Omega!AF11))</f>
        <v/>
      </c>
      <c r="AG11" s="8">
        <f>IF(p_reset=1,0,0.25*(AH11+AF11+AG10+AG12+p_h^2*Omega!AG11))</f>
        <v/>
      </c>
      <c r="AH11" s="8" t="n">
        <v>0</v>
      </c>
    </row>
    <row r="12">
      <c r="A12" s="7">
        <f>A11-p_h</f>
        <v/>
      </c>
      <c r="B12" s="8" t="n">
        <v>0</v>
      </c>
      <c r="C12" s="8">
        <f>IF(p_reset=1,0,0.25*(D12+B12+C11+C13+p_h^2*Omega!C12))</f>
        <v/>
      </c>
      <c r="D12" s="8">
        <f>IF(p_reset=1,0,0.25*(E12+C12+D11+D13+p_h^2*Omega!D12))</f>
        <v/>
      </c>
      <c r="E12" s="8">
        <f>IF(p_reset=1,0,0.25*(F12+D12+E11+E13+p_h^2*Omega!E12))</f>
        <v/>
      </c>
      <c r="F12" s="8">
        <f>IF(p_reset=1,0,0.25*(G12+E12+F11+F13+p_h^2*Omega!F12))</f>
        <v/>
      </c>
      <c r="G12" s="8">
        <f>IF(p_reset=1,0,0.25*(H12+F12+G11+G13+p_h^2*Omega!G12))</f>
        <v/>
      </c>
      <c r="H12" s="8">
        <f>IF(p_reset=1,0,0.25*(I12+G12+H11+H13+p_h^2*Omega!H12))</f>
        <v/>
      </c>
      <c r="I12" s="8">
        <f>IF(p_reset=1,0,0.25*(J12+H12+I11+I13+p_h^2*Omega!I12))</f>
        <v/>
      </c>
      <c r="J12" s="8">
        <f>IF(p_reset=1,0,0.25*(K12+I12+J11+J13+p_h^2*Omega!J12))</f>
        <v/>
      </c>
      <c r="K12" s="8">
        <f>IF(p_reset=1,0,0.25*(L12+J12+K11+K13+p_h^2*Omega!K12))</f>
        <v/>
      </c>
      <c r="L12" s="8">
        <f>IF(p_reset=1,0,0.25*(M12+K12+L11+L13+p_h^2*Omega!L12))</f>
        <v/>
      </c>
      <c r="M12" s="8">
        <f>IF(p_reset=1,0,0.25*(N12+L12+M11+M13+p_h^2*Omega!M12))</f>
        <v/>
      </c>
      <c r="N12" s="8">
        <f>IF(p_reset=1,0,0.25*(O12+M12+N11+N13+p_h^2*Omega!N12))</f>
        <v/>
      </c>
      <c r="O12" s="8">
        <f>IF(p_reset=1,0,0.25*(P12+N12+O11+O13+p_h^2*Omega!O12))</f>
        <v/>
      </c>
      <c r="P12" s="8">
        <f>IF(p_reset=1,0,0.25*(Q12+O12+P11+P13+p_h^2*Omega!P12))</f>
        <v/>
      </c>
      <c r="Q12" s="8">
        <f>IF(p_reset=1,0,0.25*(R12+P12+Q11+Q13+p_h^2*Omega!Q12))</f>
        <v/>
      </c>
      <c r="R12" s="8">
        <f>IF(p_reset=1,0,0.25*(S12+Q12+R11+R13+p_h^2*Omega!R12))</f>
        <v/>
      </c>
      <c r="S12" s="8">
        <f>IF(p_reset=1,0,0.25*(T12+R12+S11+S13+p_h^2*Omega!S12))</f>
        <v/>
      </c>
      <c r="T12" s="8">
        <f>IF(p_reset=1,0,0.25*(U12+S12+T11+T13+p_h^2*Omega!T12))</f>
        <v/>
      </c>
      <c r="U12" s="8">
        <f>IF(p_reset=1,0,0.25*(V12+T12+U11+U13+p_h^2*Omega!U12))</f>
        <v/>
      </c>
      <c r="V12" s="8">
        <f>IF(p_reset=1,0,0.25*(W12+U12+V11+V13+p_h^2*Omega!V12))</f>
        <v/>
      </c>
      <c r="W12" s="8">
        <f>IF(p_reset=1,0,0.25*(X12+V12+W11+W13+p_h^2*Omega!W12))</f>
        <v/>
      </c>
      <c r="X12" s="8">
        <f>IF(p_reset=1,0,0.25*(Y12+W12+X11+X13+p_h^2*Omega!X12))</f>
        <v/>
      </c>
      <c r="Y12" s="8">
        <f>IF(p_reset=1,0,0.25*(Z12+X12+Y11+Y13+p_h^2*Omega!Y12))</f>
        <v/>
      </c>
      <c r="Z12" s="8">
        <f>IF(p_reset=1,0,0.25*(AA12+Y12+Z11+Z13+p_h^2*Omega!Z12))</f>
        <v/>
      </c>
      <c r="AA12" s="8">
        <f>IF(p_reset=1,0,0.25*(AB12+Z12+AA11+AA13+p_h^2*Omega!AA12))</f>
        <v/>
      </c>
      <c r="AB12" s="8">
        <f>IF(p_reset=1,0,0.25*(AC12+AA12+AB11+AB13+p_h^2*Omega!AB12))</f>
        <v/>
      </c>
      <c r="AC12" s="8">
        <f>IF(p_reset=1,0,0.25*(AD12+AB12+AC11+AC13+p_h^2*Omega!AC12))</f>
        <v/>
      </c>
      <c r="AD12" s="8">
        <f>IF(p_reset=1,0,0.25*(AE12+AC12+AD11+AD13+p_h^2*Omega!AD12))</f>
        <v/>
      </c>
      <c r="AE12" s="8">
        <f>IF(p_reset=1,0,0.25*(AF12+AD12+AE11+AE13+p_h^2*Omega!AE12))</f>
        <v/>
      </c>
      <c r="AF12" s="8">
        <f>IF(p_reset=1,0,0.25*(AG12+AE12+AF11+AF13+p_h^2*Omega!AF12))</f>
        <v/>
      </c>
      <c r="AG12" s="8">
        <f>IF(p_reset=1,0,0.25*(AH12+AF12+AG11+AG13+p_h^2*Omega!AG12))</f>
        <v/>
      </c>
      <c r="AH12" s="8" t="n">
        <v>0</v>
      </c>
    </row>
    <row r="13">
      <c r="A13" s="7">
        <f>A12-p_h</f>
        <v/>
      </c>
      <c r="B13" s="8" t="n">
        <v>0</v>
      </c>
      <c r="C13" s="8">
        <f>IF(p_reset=1,0,0.25*(D13+B13+C12+C14+p_h^2*Omega!C13))</f>
        <v/>
      </c>
      <c r="D13" s="8">
        <f>IF(p_reset=1,0,0.25*(E13+C13+D12+D14+p_h^2*Omega!D13))</f>
        <v/>
      </c>
      <c r="E13" s="8">
        <f>IF(p_reset=1,0,0.25*(F13+D13+E12+E14+p_h^2*Omega!E13))</f>
        <v/>
      </c>
      <c r="F13" s="8">
        <f>IF(p_reset=1,0,0.25*(G13+E13+F12+F14+p_h^2*Omega!F13))</f>
        <v/>
      </c>
      <c r="G13" s="8">
        <f>IF(p_reset=1,0,0.25*(H13+F13+G12+G14+p_h^2*Omega!G13))</f>
        <v/>
      </c>
      <c r="H13" s="8">
        <f>IF(p_reset=1,0,0.25*(I13+G13+H12+H14+p_h^2*Omega!H13))</f>
        <v/>
      </c>
      <c r="I13" s="8">
        <f>IF(p_reset=1,0,0.25*(J13+H13+I12+I14+p_h^2*Omega!I13))</f>
        <v/>
      </c>
      <c r="J13" s="8">
        <f>IF(p_reset=1,0,0.25*(K13+I13+J12+J14+p_h^2*Omega!J13))</f>
        <v/>
      </c>
      <c r="K13" s="8">
        <f>IF(p_reset=1,0,0.25*(L13+J13+K12+K14+p_h^2*Omega!K13))</f>
        <v/>
      </c>
      <c r="L13" s="8">
        <f>IF(p_reset=1,0,0.25*(M13+K13+L12+L14+p_h^2*Omega!L13))</f>
        <v/>
      </c>
      <c r="M13" s="8">
        <f>IF(p_reset=1,0,0.25*(N13+L13+M12+M14+p_h^2*Omega!M13))</f>
        <v/>
      </c>
      <c r="N13" s="8">
        <f>IF(p_reset=1,0,0.25*(O13+M13+N12+N14+p_h^2*Omega!N13))</f>
        <v/>
      </c>
      <c r="O13" s="8">
        <f>IF(p_reset=1,0,0.25*(P13+N13+O12+O14+p_h^2*Omega!O13))</f>
        <v/>
      </c>
      <c r="P13" s="8">
        <f>IF(p_reset=1,0,0.25*(Q13+O13+P12+P14+p_h^2*Omega!P13))</f>
        <v/>
      </c>
      <c r="Q13" s="8">
        <f>IF(p_reset=1,0,0.25*(R13+P13+Q12+Q14+p_h^2*Omega!Q13))</f>
        <v/>
      </c>
      <c r="R13" s="8">
        <f>IF(p_reset=1,0,0.25*(S13+Q13+R12+R14+p_h^2*Omega!R13))</f>
        <v/>
      </c>
      <c r="S13" s="8">
        <f>IF(p_reset=1,0,0.25*(T13+R13+S12+S14+p_h^2*Omega!S13))</f>
        <v/>
      </c>
      <c r="T13" s="8">
        <f>IF(p_reset=1,0,0.25*(U13+S13+T12+T14+p_h^2*Omega!T13))</f>
        <v/>
      </c>
      <c r="U13" s="8">
        <f>IF(p_reset=1,0,0.25*(V13+T13+U12+U14+p_h^2*Omega!U13))</f>
        <v/>
      </c>
      <c r="V13" s="8">
        <f>IF(p_reset=1,0,0.25*(W13+U13+V12+V14+p_h^2*Omega!V13))</f>
        <v/>
      </c>
      <c r="W13" s="8">
        <f>IF(p_reset=1,0,0.25*(X13+V13+W12+W14+p_h^2*Omega!W13))</f>
        <v/>
      </c>
      <c r="X13" s="8">
        <f>IF(p_reset=1,0,0.25*(Y13+W13+X12+X14+p_h^2*Omega!X13))</f>
        <v/>
      </c>
      <c r="Y13" s="8">
        <f>IF(p_reset=1,0,0.25*(Z13+X13+Y12+Y14+p_h^2*Omega!Y13))</f>
        <v/>
      </c>
      <c r="Z13" s="8">
        <f>IF(p_reset=1,0,0.25*(AA13+Y13+Z12+Z14+p_h^2*Omega!Z13))</f>
        <v/>
      </c>
      <c r="AA13" s="8">
        <f>IF(p_reset=1,0,0.25*(AB13+Z13+AA12+AA14+p_h^2*Omega!AA13))</f>
        <v/>
      </c>
      <c r="AB13" s="8">
        <f>IF(p_reset=1,0,0.25*(AC13+AA13+AB12+AB14+p_h^2*Omega!AB13))</f>
        <v/>
      </c>
      <c r="AC13" s="8">
        <f>IF(p_reset=1,0,0.25*(AD13+AB13+AC12+AC14+p_h^2*Omega!AC13))</f>
        <v/>
      </c>
      <c r="AD13" s="8">
        <f>IF(p_reset=1,0,0.25*(AE13+AC13+AD12+AD14+p_h^2*Omega!AD13))</f>
        <v/>
      </c>
      <c r="AE13" s="8">
        <f>IF(p_reset=1,0,0.25*(AF13+AD13+AE12+AE14+p_h^2*Omega!AE13))</f>
        <v/>
      </c>
      <c r="AF13" s="8">
        <f>IF(p_reset=1,0,0.25*(AG13+AE13+AF12+AF14+p_h^2*Omega!AF13))</f>
        <v/>
      </c>
      <c r="AG13" s="8">
        <f>IF(p_reset=1,0,0.25*(AH13+AF13+AG12+AG14+p_h^2*Omega!AG13))</f>
        <v/>
      </c>
      <c r="AH13" s="8" t="n">
        <v>0</v>
      </c>
    </row>
    <row r="14">
      <c r="A14" s="7">
        <f>A13-p_h</f>
        <v/>
      </c>
      <c r="B14" s="8" t="n">
        <v>0</v>
      </c>
      <c r="C14" s="8">
        <f>IF(p_reset=1,0,0.25*(D14+B14+C13+C15+p_h^2*Omega!C14))</f>
        <v/>
      </c>
      <c r="D14" s="8">
        <f>IF(p_reset=1,0,0.25*(E14+C14+D13+D15+p_h^2*Omega!D14))</f>
        <v/>
      </c>
      <c r="E14" s="8">
        <f>IF(p_reset=1,0,0.25*(F14+D14+E13+E15+p_h^2*Omega!E14))</f>
        <v/>
      </c>
      <c r="F14" s="8">
        <f>IF(p_reset=1,0,0.25*(G14+E14+F13+F15+p_h^2*Omega!F14))</f>
        <v/>
      </c>
      <c r="G14" s="8">
        <f>IF(p_reset=1,0,0.25*(H14+F14+G13+G15+p_h^2*Omega!G14))</f>
        <v/>
      </c>
      <c r="H14" s="8">
        <f>IF(p_reset=1,0,0.25*(I14+G14+H13+H15+p_h^2*Omega!H14))</f>
        <v/>
      </c>
      <c r="I14" s="8">
        <f>IF(p_reset=1,0,0.25*(J14+H14+I13+I15+p_h^2*Omega!I14))</f>
        <v/>
      </c>
      <c r="J14" s="8">
        <f>IF(p_reset=1,0,0.25*(K14+I14+J13+J15+p_h^2*Omega!J14))</f>
        <v/>
      </c>
      <c r="K14" s="8">
        <f>IF(p_reset=1,0,0.25*(L14+J14+K13+K15+p_h^2*Omega!K14))</f>
        <v/>
      </c>
      <c r="L14" s="8">
        <f>IF(p_reset=1,0,0.25*(M14+K14+L13+L15+p_h^2*Omega!L14))</f>
        <v/>
      </c>
      <c r="M14" s="8">
        <f>IF(p_reset=1,0,0.25*(N14+L14+M13+M15+p_h^2*Omega!M14))</f>
        <v/>
      </c>
      <c r="N14" s="8">
        <f>IF(p_reset=1,0,0.25*(O14+M14+N13+N15+p_h^2*Omega!N14))</f>
        <v/>
      </c>
      <c r="O14" s="8">
        <f>IF(p_reset=1,0,0.25*(P14+N14+O13+O15+p_h^2*Omega!O14))</f>
        <v/>
      </c>
      <c r="P14" s="8">
        <f>IF(p_reset=1,0,0.25*(Q14+O14+P13+P15+p_h^2*Omega!P14))</f>
        <v/>
      </c>
      <c r="Q14" s="8">
        <f>IF(p_reset=1,0,0.25*(R14+P14+Q13+Q15+p_h^2*Omega!Q14))</f>
        <v/>
      </c>
      <c r="R14" s="8">
        <f>IF(p_reset=1,0,0.25*(S14+Q14+R13+R15+p_h^2*Omega!R14))</f>
        <v/>
      </c>
      <c r="S14" s="8">
        <f>IF(p_reset=1,0,0.25*(T14+R14+S13+S15+p_h^2*Omega!S14))</f>
        <v/>
      </c>
      <c r="T14" s="8">
        <f>IF(p_reset=1,0,0.25*(U14+S14+T13+T15+p_h^2*Omega!T14))</f>
        <v/>
      </c>
      <c r="U14" s="8">
        <f>IF(p_reset=1,0,0.25*(V14+T14+U13+U15+p_h^2*Omega!U14))</f>
        <v/>
      </c>
      <c r="V14" s="8">
        <f>IF(p_reset=1,0,0.25*(W14+U14+V13+V15+p_h^2*Omega!V14))</f>
        <v/>
      </c>
      <c r="W14" s="8">
        <f>IF(p_reset=1,0,0.25*(X14+V14+W13+W15+p_h^2*Omega!W14))</f>
        <v/>
      </c>
      <c r="X14" s="8">
        <f>IF(p_reset=1,0,0.25*(Y14+W14+X13+X15+p_h^2*Omega!X14))</f>
        <v/>
      </c>
      <c r="Y14" s="8">
        <f>IF(p_reset=1,0,0.25*(Z14+X14+Y13+Y15+p_h^2*Omega!Y14))</f>
        <v/>
      </c>
      <c r="Z14" s="8">
        <f>IF(p_reset=1,0,0.25*(AA14+Y14+Z13+Z15+p_h^2*Omega!Z14))</f>
        <v/>
      </c>
      <c r="AA14" s="8">
        <f>IF(p_reset=1,0,0.25*(AB14+Z14+AA13+AA15+p_h^2*Omega!AA14))</f>
        <v/>
      </c>
      <c r="AB14" s="8">
        <f>IF(p_reset=1,0,0.25*(AC14+AA14+AB13+AB15+p_h^2*Omega!AB14))</f>
        <v/>
      </c>
      <c r="AC14" s="8">
        <f>IF(p_reset=1,0,0.25*(AD14+AB14+AC13+AC15+p_h^2*Omega!AC14))</f>
        <v/>
      </c>
      <c r="AD14" s="8">
        <f>IF(p_reset=1,0,0.25*(AE14+AC14+AD13+AD15+p_h^2*Omega!AD14))</f>
        <v/>
      </c>
      <c r="AE14" s="8">
        <f>IF(p_reset=1,0,0.25*(AF14+AD14+AE13+AE15+p_h^2*Omega!AE14))</f>
        <v/>
      </c>
      <c r="AF14" s="8">
        <f>IF(p_reset=1,0,0.25*(AG14+AE14+AF13+AF15+p_h^2*Omega!AF14))</f>
        <v/>
      </c>
      <c r="AG14" s="8">
        <f>IF(p_reset=1,0,0.25*(AH14+AF14+AG13+AG15+p_h^2*Omega!AG14))</f>
        <v/>
      </c>
      <c r="AH14" s="8" t="n">
        <v>0</v>
      </c>
    </row>
    <row r="15">
      <c r="A15" s="7">
        <f>A14-p_h</f>
        <v/>
      </c>
      <c r="B15" s="8" t="n">
        <v>0</v>
      </c>
      <c r="C15" s="8">
        <f>IF(p_reset=1,0,0.25*(D15+B15+C14+C16+p_h^2*Omega!C15))</f>
        <v/>
      </c>
      <c r="D15" s="8">
        <f>IF(p_reset=1,0,0.25*(E15+C15+D14+D16+p_h^2*Omega!D15))</f>
        <v/>
      </c>
      <c r="E15" s="8">
        <f>IF(p_reset=1,0,0.25*(F15+D15+E14+E16+p_h^2*Omega!E15))</f>
        <v/>
      </c>
      <c r="F15" s="8">
        <f>IF(p_reset=1,0,0.25*(G15+E15+F14+F16+p_h^2*Omega!F15))</f>
        <v/>
      </c>
      <c r="G15" s="8">
        <f>IF(p_reset=1,0,0.25*(H15+F15+G14+G16+p_h^2*Omega!G15))</f>
        <v/>
      </c>
      <c r="H15" s="8">
        <f>IF(p_reset=1,0,0.25*(I15+G15+H14+H16+p_h^2*Omega!H15))</f>
        <v/>
      </c>
      <c r="I15" s="8">
        <f>IF(p_reset=1,0,0.25*(J15+H15+I14+I16+p_h^2*Omega!I15))</f>
        <v/>
      </c>
      <c r="J15" s="8">
        <f>IF(p_reset=1,0,0.25*(K15+I15+J14+J16+p_h^2*Omega!J15))</f>
        <v/>
      </c>
      <c r="K15" s="8">
        <f>IF(p_reset=1,0,0.25*(L15+J15+K14+K16+p_h^2*Omega!K15))</f>
        <v/>
      </c>
      <c r="L15" s="8">
        <f>IF(p_reset=1,0,0.25*(M15+K15+L14+L16+p_h^2*Omega!L15))</f>
        <v/>
      </c>
      <c r="M15" s="8">
        <f>IF(p_reset=1,0,0.25*(N15+L15+M14+M16+p_h^2*Omega!M15))</f>
        <v/>
      </c>
      <c r="N15" s="8">
        <f>IF(p_reset=1,0,0.25*(O15+M15+N14+N16+p_h^2*Omega!N15))</f>
        <v/>
      </c>
      <c r="O15" s="8">
        <f>IF(p_reset=1,0,0.25*(P15+N15+O14+O16+p_h^2*Omega!O15))</f>
        <v/>
      </c>
      <c r="P15" s="8">
        <f>IF(p_reset=1,0,0.25*(Q15+O15+P14+P16+p_h^2*Omega!P15))</f>
        <v/>
      </c>
      <c r="Q15" s="8">
        <f>IF(p_reset=1,0,0.25*(R15+P15+Q14+Q16+p_h^2*Omega!Q15))</f>
        <v/>
      </c>
      <c r="R15" s="8">
        <f>IF(p_reset=1,0,0.25*(S15+Q15+R14+R16+p_h^2*Omega!R15))</f>
        <v/>
      </c>
      <c r="S15" s="8">
        <f>IF(p_reset=1,0,0.25*(T15+R15+S14+S16+p_h^2*Omega!S15))</f>
        <v/>
      </c>
      <c r="T15" s="8">
        <f>IF(p_reset=1,0,0.25*(U15+S15+T14+T16+p_h^2*Omega!T15))</f>
        <v/>
      </c>
      <c r="U15" s="8">
        <f>IF(p_reset=1,0,0.25*(V15+T15+U14+U16+p_h^2*Omega!U15))</f>
        <v/>
      </c>
      <c r="V15" s="8">
        <f>IF(p_reset=1,0,0.25*(W15+U15+V14+V16+p_h^2*Omega!V15))</f>
        <v/>
      </c>
      <c r="W15" s="8">
        <f>IF(p_reset=1,0,0.25*(X15+V15+W14+W16+p_h^2*Omega!W15))</f>
        <v/>
      </c>
      <c r="X15" s="8">
        <f>IF(p_reset=1,0,0.25*(Y15+W15+X14+X16+p_h^2*Omega!X15))</f>
        <v/>
      </c>
      <c r="Y15" s="8">
        <f>IF(p_reset=1,0,0.25*(Z15+X15+Y14+Y16+p_h^2*Omega!Y15))</f>
        <v/>
      </c>
      <c r="Z15" s="8">
        <f>IF(p_reset=1,0,0.25*(AA15+Y15+Z14+Z16+p_h^2*Omega!Z15))</f>
        <v/>
      </c>
      <c r="AA15" s="8">
        <f>IF(p_reset=1,0,0.25*(AB15+Z15+AA14+AA16+p_h^2*Omega!AA15))</f>
        <v/>
      </c>
      <c r="AB15" s="8">
        <f>IF(p_reset=1,0,0.25*(AC15+AA15+AB14+AB16+p_h^2*Omega!AB15))</f>
        <v/>
      </c>
      <c r="AC15" s="8">
        <f>IF(p_reset=1,0,0.25*(AD15+AB15+AC14+AC16+p_h^2*Omega!AC15))</f>
        <v/>
      </c>
      <c r="AD15" s="8">
        <f>IF(p_reset=1,0,0.25*(AE15+AC15+AD14+AD16+p_h^2*Omega!AD15))</f>
        <v/>
      </c>
      <c r="AE15" s="8">
        <f>IF(p_reset=1,0,0.25*(AF15+AD15+AE14+AE16+p_h^2*Omega!AE15))</f>
        <v/>
      </c>
      <c r="AF15" s="8">
        <f>IF(p_reset=1,0,0.25*(AG15+AE15+AF14+AF16+p_h^2*Omega!AF15))</f>
        <v/>
      </c>
      <c r="AG15" s="8">
        <f>IF(p_reset=1,0,0.25*(AH15+AF15+AG14+AG16+p_h^2*Omega!AG15))</f>
        <v/>
      </c>
      <c r="AH15" s="8" t="n">
        <v>0</v>
      </c>
    </row>
    <row r="16">
      <c r="A16" s="7">
        <f>A15-p_h</f>
        <v/>
      </c>
      <c r="B16" s="8" t="n">
        <v>0</v>
      </c>
      <c r="C16" s="8">
        <f>IF(p_reset=1,0,0.25*(D16+B16+C15+C17+p_h^2*Omega!C16))</f>
        <v/>
      </c>
      <c r="D16" s="8">
        <f>IF(p_reset=1,0,0.25*(E16+C16+D15+D17+p_h^2*Omega!D16))</f>
        <v/>
      </c>
      <c r="E16" s="8">
        <f>IF(p_reset=1,0,0.25*(F16+D16+E15+E17+p_h^2*Omega!E16))</f>
        <v/>
      </c>
      <c r="F16" s="8">
        <f>IF(p_reset=1,0,0.25*(G16+E16+F15+F17+p_h^2*Omega!F16))</f>
        <v/>
      </c>
      <c r="G16" s="8">
        <f>IF(p_reset=1,0,0.25*(H16+F16+G15+G17+p_h^2*Omega!G16))</f>
        <v/>
      </c>
      <c r="H16" s="8">
        <f>IF(p_reset=1,0,0.25*(I16+G16+H15+H17+p_h^2*Omega!H16))</f>
        <v/>
      </c>
      <c r="I16" s="8">
        <f>IF(p_reset=1,0,0.25*(J16+H16+I15+I17+p_h^2*Omega!I16))</f>
        <v/>
      </c>
      <c r="J16" s="8">
        <f>IF(p_reset=1,0,0.25*(K16+I16+J15+J17+p_h^2*Omega!J16))</f>
        <v/>
      </c>
      <c r="K16" s="8">
        <f>IF(p_reset=1,0,0.25*(L16+J16+K15+K17+p_h^2*Omega!K16))</f>
        <v/>
      </c>
      <c r="L16" s="8">
        <f>IF(p_reset=1,0,0.25*(M16+K16+L15+L17+p_h^2*Omega!L16))</f>
        <v/>
      </c>
      <c r="M16" s="8">
        <f>IF(p_reset=1,0,0.25*(N16+L16+M15+M17+p_h^2*Omega!M16))</f>
        <v/>
      </c>
      <c r="N16" s="8">
        <f>IF(p_reset=1,0,0.25*(O16+M16+N15+N17+p_h^2*Omega!N16))</f>
        <v/>
      </c>
      <c r="O16" s="8">
        <f>IF(p_reset=1,0,0.25*(P16+N16+O15+O17+p_h^2*Omega!O16))</f>
        <v/>
      </c>
      <c r="P16" s="8">
        <f>IF(p_reset=1,0,0.25*(Q16+O16+P15+P17+p_h^2*Omega!P16))</f>
        <v/>
      </c>
      <c r="Q16" s="8">
        <f>IF(p_reset=1,0,0.25*(R16+P16+Q15+Q17+p_h^2*Omega!Q16))</f>
        <v/>
      </c>
      <c r="R16" s="8">
        <f>IF(p_reset=1,0,0.25*(S16+Q16+R15+R17+p_h^2*Omega!R16))</f>
        <v/>
      </c>
      <c r="S16" s="8">
        <f>IF(p_reset=1,0,0.25*(T16+R16+S15+S17+p_h^2*Omega!S16))</f>
        <v/>
      </c>
      <c r="T16" s="8">
        <f>IF(p_reset=1,0,0.25*(U16+S16+T15+T17+p_h^2*Omega!T16))</f>
        <v/>
      </c>
      <c r="U16" s="8">
        <f>IF(p_reset=1,0,0.25*(V16+T16+U15+U17+p_h^2*Omega!U16))</f>
        <v/>
      </c>
      <c r="V16" s="8">
        <f>IF(p_reset=1,0,0.25*(W16+U16+V15+V17+p_h^2*Omega!V16))</f>
        <v/>
      </c>
      <c r="W16" s="8">
        <f>IF(p_reset=1,0,0.25*(X16+V16+W15+W17+p_h^2*Omega!W16))</f>
        <v/>
      </c>
      <c r="X16" s="8">
        <f>IF(p_reset=1,0,0.25*(Y16+W16+X15+X17+p_h^2*Omega!X16))</f>
        <v/>
      </c>
      <c r="Y16" s="8">
        <f>IF(p_reset=1,0,0.25*(Z16+X16+Y15+Y17+p_h^2*Omega!Y16))</f>
        <v/>
      </c>
      <c r="Z16" s="8">
        <f>IF(p_reset=1,0,0.25*(AA16+Y16+Z15+Z17+p_h^2*Omega!Z16))</f>
        <v/>
      </c>
      <c r="AA16" s="8">
        <f>IF(p_reset=1,0,0.25*(AB16+Z16+AA15+AA17+p_h^2*Omega!AA16))</f>
        <v/>
      </c>
      <c r="AB16" s="8">
        <f>IF(p_reset=1,0,0.25*(AC16+AA16+AB15+AB17+p_h^2*Omega!AB16))</f>
        <v/>
      </c>
      <c r="AC16" s="8">
        <f>IF(p_reset=1,0,0.25*(AD16+AB16+AC15+AC17+p_h^2*Omega!AC16))</f>
        <v/>
      </c>
      <c r="AD16" s="8">
        <f>IF(p_reset=1,0,0.25*(AE16+AC16+AD15+AD17+p_h^2*Omega!AD16))</f>
        <v/>
      </c>
      <c r="AE16" s="8">
        <f>IF(p_reset=1,0,0.25*(AF16+AD16+AE15+AE17+p_h^2*Omega!AE16))</f>
        <v/>
      </c>
      <c r="AF16" s="8">
        <f>IF(p_reset=1,0,0.25*(AG16+AE16+AF15+AF17+p_h^2*Omega!AF16))</f>
        <v/>
      </c>
      <c r="AG16" s="8">
        <f>IF(p_reset=1,0,0.25*(AH16+AF16+AG15+AG17+p_h^2*Omega!AG16))</f>
        <v/>
      </c>
      <c r="AH16" s="8" t="n">
        <v>0</v>
      </c>
    </row>
    <row r="17">
      <c r="A17" s="7">
        <f>A16-p_h</f>
        <v/>
      </c>
      <c r="B17" s="8" t="n">
        <v>0</v>
      </c>
      <c r="C17" s="8">
        <f>IF(p_reset=1,0,0.25*(D17+B17+C16+C18+p_h^2*Omega!C17))</f>
        <v/>
      </c>
      <c r="D17" s="8">
        <f>IF(p_reset=1,0,0.25*(E17+C17+D16+D18+p_h^2*Omega!D17))</f>
        <v/>
      </c>
      <c r="E17" s="8">
        <f>IF(p_reset=1,0,0.25*(F17+D17+E16+E18+p_h^2*Omega!E17))</f>
        <v/>
      </c>
      <c r="F17" s="8">
        <f>IF(p_reset=1,0,0.25*(G17+E17+F16+F18+p_h^2*Omega!F17))</f>
        <v/>
      </c>
      <c r="G17" s="8">
        <f>IF(p_reset=1,0,0.25*(H17+F17+G16+G18+p_h^2*Omega!G17))</f>
        <v/>
      </c>
      <c r="H17" s="8">
        <f>IF(p_reset=1,0,0.25*(I17+G17+H16+H18+p_h^2*Omega!H17))</f>
        <v/>
      </c>
      <c r="I17" s="8">
        <f>IF(p_reset=1,0,0.25*(J17+H17+I16+I18+p_h^2*Omega!I17))</f>
        <v/>
      </c>
      <c r="J17" s="8">
        <f>IF(p_reset=1,0,0.25*(K17+I17+J16+J18+p_h^2*Omega!J17))</f>
        <v/>
      </c>
      <c r="K17" s="8">
        <f>IF(p_reset=1,0,0.25*(L17+J17+K16+K18+p_h^2*Omega!K17))</f>
        <v/>
      </c>
      <c r="L17" s="8">
        <f>IF(p_reset=1,0,0.25*(M17+K17+L16+L18+p_h^2*Omega!L17))</f>
        <v/>
      </c>
      <c r="M17" s="8">
        <f>IF(p_reset=1,0,0.25*(N17+L17+M16+M18+p_h^2*Omega!M17))</f>
        <v/>
      </c>
      <c r="N17" s="8">
        <f>IF(p_reset=1,0,0.25*(O17+M17+N16+N18+p_h^2*Omega!N17))</f>
        <v/>
      </c>
      <c r="O17" s="8">
        <f>IF(p_reset=1,0,0.25*(P17+N17+O16+O18+p_h^2*Omega!O17))</f>
        <v/>
      </c>
      <c r="P17" s="8">
        <f>IF(p_reset=1,0,0.25*(Q17+O17+P16+P18+p_h^2*Omega!P17))</f>
        <v/>
      </c>
      <c r="Q17" s="8">
        <f>IF(p_reset=1,0,0.25*(R17+P17+Q16+Q18+p_h^2*Omega!Q17))</f>
        <v/>
      </c>
      <c r="R17" s="8">
        <f>IF(p_reset=1,0,0.25*(S17+Q17+R16+R18+p_h^2*Omega!R17))</f>
        <v/>
      </c>
      <c r="S17" s="8">
        <f>IF(p_reset=1,0,0.25*(T17+R17+S16+S18+p_h^2*Omega!S17))</f>
        <v/>
      </c>
      <c r="T17" s="8">
        <f>IF(p_reset=1,0,0.25*(U17+S17+T16+T18+p_h^2*Omega!T17))</f>
        <v/>
      </c>
      <c r="U17" s="8">
        <f>IF(p_reset=1,0,0.25*(V17+T17+U16+U18+p_h^2*Omega!U17))</f>
        <v/>
      </c>
      <c r="V17" s="8">
        <f>IF(p_reset=1,0,0.25*(W17+U17+V16+V18+p_h^2*Omega!V17))</f>
        <v/>
      </c>
      <c r="W17" s="8">
        <f>IF(p_reset=1,0,0.25*(X17+V17+W16+W18+p_h^2*Omega!W17))</f>
        <v/>
      </c>
      <c r="X17" s="8">
        <f>IF(p_reset=1,0,0.25*(Y17+W17+X16+X18+p_h^2*Omega!X17))</f>
        <v/>
      </c>
      <c r="Y17" s="8">
        <f>IF(p_reset=1,0,0.25*(Z17+X17+Y16+Y18+p_h^2*Omega!Y17))</f>
        <v/>
      </c>
      <c r="Z17" s="8">
        <f>IF(p_reset=1,0,0.25*(AA17+Y17+Z16+Z18+p_h^2*Omega!Z17))</f>
        <v/>
      </c>
      <c r="AA17" s="8">
        <f>IF(p_reset=1,0,0.25*(AB17+Z17+AA16+AA18+p_h^2*Omega!AA17))</f>
        <v/>
      </c>
      <c r="AB17" s="8">
        <f>IF(p_reset=1,0,0.25*(AC17+AA17+AB16+AB18+p_h^2*Omega!AB17))</f>
        <v/>
      </c>
      <c r="AC17" s="8">
        <f>IF(p_reset=1,0,0.25*(AD17+AB17+AC16+AC18+p_h^2*Omega!AC17))</f>
        <v/>
      </c>
      <c r="AD17" s="8">
        <f>IF(p_reset=1,0,0.25*(AE17+AC17+AD16+AD18+p_h^2*Omega!AD17))</f>
        <v/>
      </c>
      <c r="AE17" s="8">
        <f>IF(p_reset=1,0,0.25*(AF17+AD17+AE16+AE18+p_h^2*Omega!AE17))</f>
        <v/>
      </c>
      <c r="AF17" s="8">
        <f>IF(p_reset=1,0,0.25*(AG17+AE17+AF16+AF18+p_h^2*Omega!AF17))</f>
        <v/>
      </c>
      <c r="AG17" s="8">
        <f>IF(p_reset=1,0,0.25*(AH17+AF17+AG16+AG18+p_h^2*Omega!AG17))</f>
        <v/>
      </c>
      <c r="AH17" s="8" t="n">
        <v>0</v>
      </c>
    </row>
    <row r="18">
      <c r="A18" s="7">
        <f>A17-p_h</f>
        <v/>
      </c>
      <c r="B18" s="8" t="n">
        <v>0</v>
      </c>
      <c r="C18" s="8">
        <f>IF(p_reset=1,0,0.25*(D18+B18+C17+C19+p_h^2*Omega!C18))</f>
        <v/>
      </c>
      <c r="D18" s="8">
        <f>IF(p_reset=1,0,0.25*(E18+C18+D17+D19+p_h^2*Omega!D18))</f>
        <v/>
      </c>
      <c r="E18" s="8">
        <f>IF(p_reset=1,0,0.25*(F18+D18+E17+E19+p_h^2*Omega!E18))</f>
        <v/>
      </c>
      <c r="F18" s="8">
        <f>IF(p_reset=1,0,0.25*(G18+E18+F17+F19+p_h^2*Omega!F18))</f>
        <v/>
      </c>
      <c r="G18" s="8">
        <f>IF(p_reset=1,0,0.25*(H18+F18+G17+G19+p_h^2*Omega!G18))</f>
        <v/>
      </c>
      <c r="H18" s="8">
        <f>IF(p_reset=1,0,0.25*(I18+G18+H17+H19+p_h^2*Omega!H18))</f>
        <v/>
      </c>
      <c r="I18" s="8">
        <f>IF(p_reset=1,0,0.25*(J18+H18+I17+I19+p_h^2*Omega!I18))</f>
        <v/>
      </c>
      <c r="J18" s="8">
        <f>IF(p_reset=1,0,0.25*(K18+I18+J17+J19+p_h^2*Omega!J18))</f>
        <v/>
      </c>
      <c r="K18" s="8">
        <f>IF(p_reset=1,0,0.25*(L18+J18+K17+K19+p_h^2*Omega!K18))</f>
        <v/>
      </c>
      <c r="L18" s="8">
        <f>IF(p_reset=1,0,0.25*(M18+K18+L17+L19+p_h^2*Omega!L18))</f>
        <v/>
      </c>
      <c r="M18" s="8">
        <f>IF(p_reset=1,0,0.25*(N18+L18+M17+M19+p_h^2*Omega!M18))</f>
        <v/>
      </c>
      <c r="N18" s="8">
        <f>IF(p_reset=1,0,0.25*(O18+M18+N17+N19+p_h^2*Omega!N18))</f>
        <v/>
      </c>
      <c r="O18" s="8">
        <f>IF(p_reset=1,0,0.25*(P18+N18+O17+O19+p_h^2*Omega!O18))</f>
        <v/>
      </c>
      <c r="P18" s="8">
        <f>IF(p_reset=1,0,0.25*(Q18+O18+P17+P19+p_h^2*Omega!P18))</f>
        <v/>
      </c>
      <c r="Q18" s="8">
        <f>IF(p_reset=1,0,0.25*(R18+P18+Q17+Q19+p_h^2*Omega!Q18))</f>
        <v/>
      </c>
      <c r="R18" s="8">
        <f>IF(p_reset=1,0,0.25*(S18+Q18+R17+R19+p_h^2*Omega!R18))</f>
        <v/>
      </c>
      <c r="S18" s="8">
        <f>IF(p_reset=1,0,0.25*(T18+R18+S17+S19+p_h^2*Omega!S18))</f>
        <v/>
      </c>
      <c r="T18" s="8">
        <f>IF(p_reset=1,0,0.25*(U18+S18+T17+T19+p_h^2*Omega!T18))</f>
        <v/>
      </c>
      <c r="U18" s="8">
        <f>IF(p_reset=1,0,0.25*(V18+T18+U17+U19+p_h^2*Omega!U18))</f>
        <v/>
      </c>
      <c r="V18" s="8">
        <f>IF(p_reset=1,0,0.25*(W18+U18+V17+V19+p_h^2*Omega!V18))</f>
        <v/>
      </c>
      <c r="W18" s="8">
        <f>IF(p_reset=1,0,0.25*(X18+V18+W17+W19+p_h^2*Omega!W18))</f>
        <v/>
      </c>
      <c r="X18" s="8">
        <f>IF(p_reset=1,0,0.25*(Y18+W18+X17+X19+p_h^2*Omega!X18))</f>
        <v/>
      </c>
      <c r="Y18" s="8">
        <f>IF(p_reset=1,0,0.25*(Z18+X18+Y17+Y19+p_h^2*Omega!Y18))</f>
        <v/>
      </c>
      <c r="Z18" s="8">
        <f>IF(p_reset=1,0,0.25*(AA18+Y18+Z17+Z19+p_h^2*Omega!Z18))</f>
        <v/>
      </c>
      <c r="AA18" s="8">
        <f>IF(p_reset=1,0,0.25*(AB18+Z18+AA17+AA19+p_h^2*Omega!AA18))</f>
        <v/>
      </c>
      <c r="AB18" s="8">
        <f>IF(p_reset=1,0,0.25*(AC18+AA18+AB17+AB19+p_h^2*Omega!AB18))</f>
        <v/>
      </c>
      <c r="AC18" s="8">
        <f>IF(p_reset=1,0,0.25*(AD18+AB18+AC17+AC19+p_h^2*Omega!AC18))</f>
        <v/>
      </c>
      <c r="AD18" s="8">
        <f>IF(p_reset=1,0,0.25*(AE18+AC18+AD17+AD19+p_h^2*Omega!AD18))</f>
        <v/>
      </c>
      <c r="AE18" s="8">
        <f>IF(p_reset=1,0,0.25*(AF18+AD18+AE17+AE19+p_h^2*Omega!AE18))</f>
        <v/>
      </c>
      <c r="AF18" s="8">
        <f>IF(p_reset=1,0,0.25*(AG18+AE18+AF17+AF19+p_h^2*Omega!AF18))</f>
        <v/>
      </c>
      <c r="AG18" s="8">
        <f>IF(p_reset=1,0,0.25*(AH18+AF18+AG17+AG19+p_h^2*Omega!AG18))</f>
        <v/>
      </c>
      <c r="AH18" s="8" t="n">
        <v>0</v>
      </c>
    </row>
    <row r="19">
      <c r="A19" s="7">
        <f>A18-p_h</f>
        <v/>
      </c>
      <c r="B19" s="8" t="n">
        <v>0</v>
      </c>
      <c r="C19" s="8">
        <f>IF(p_reset=1,0,0.25*(D19+B19+C18+C20+p_h^2*Omega!C19))</f>
        <v/>
      </c>
      <c r="D19" s="8">
        <f>IF(p_reset=1,0,0.25*(E19+C19+D18+D20+p_h^2*Omega!D19))</f>
        <v/>
      </c>
      <c r="E19" s="8">
        <f>IF(p_reset=1,0,0.25*(F19+D19+E18+E20+p_h^2*Omega!E19))</f>
        <v/>
      </c>
      <c r="F19" s="8">
        <f>IF(p_reset=1,0,0.25*(G19+E19+F18+F20+p_h^2*Omega!F19))</f>
        <v/>
      </c>
      <c r="G19" s="8">
        <f>IF(p_reset=1,0,0.25*(H19+F19+G18+G20+p_h^2*Omega!G19))</f>
        <v/>
      </c>
      <c r="H19" s="8">
        <f>IF(p_reset=1,0,0.25*(I19+G19+H18+H20+p_h^2*Omega!H19))</f>
        <v/>
      </c>
      <c r="I19" s="8">
        <f>IF(p_reset=1,0,0.25*(J19+H19+I18+I20+p_h^2*Omega!I19))</f>
        <v/>
      </c>
      <c r="J19" s="8">
        <f>IF(p_reset=1,0,0.25*(K19+I19+J18+J20+p_h^2*Omega!J19))</f>
        <v/>
      </c>
      <c r="K19" s="8">
        <f>IF(p_reset=1,0,0.25*(L19+J19+K18+K20+p_h^2*Omega!K19))</f>
        <v/>
      </c>
      <c r="L19" s="8">
        <f>IF(p_reset=1,0,0.25*(M19+K19+L18+L20+p_h^2*Omega!L19))</f>
        <v/>
      </c>
      <c r="M19" s="8">
        <f>IF(p_reset=1,0,0.25*(N19+L19+M18+M20+p_h^2*Omega!M19))</f>
        <v/>
      </c>
      <c r="N19" s="8">
        <f>IF(p_reset=1,0,0.25*(O19+M19+N18+N20+p_h^2*Omega!N19))</f>
        <v/>
      </c>
      <c r="O19" s="8">
        <f>IF(p_reset=1,0,0.25*(P19+N19+O18+O20+p_h^2*Omega!O19))</f>
        <v/>
      </c>
      <c r="P19" s="8">
        <f>IF(p_reset=1,0,0.25*(Q19+O19+P18+P20+p_h^2*Omega!P19))</f>
        <v/>
      </c>
      <c r="Q19" s="8">
        <f>IF(p_reset=1,0,0.25*(R19+P19+Q18+Q20+p_h^2*Omega!Q19))</f>
        <v/>
      </c>
      <c r="R19" s="8">
        <f>IF(p_reset=1,0,0.25*(S19+Q19+R18+R20+p_h^2*Omega!R19))</f>
        <v/>
      </c>
      <c r="S19" s="8">
        <f>IF(p_reset=1,0,0.25*(T19+R19+S18+S20+p_h^2*Omega!S19))</f>
        <v/>
      </c>
      <c r="T19" s="8">
        <f>IF(p_reset=1,0,0.25*(U19+S19+T18+T20+p_h^2*Omega!T19))</f>
        <v/>
      </c>
      <c r="U19" s="8">
        <f>IF(p_reset=1,0,0.25*(V19+T19+U18+U20+p_h^2*Omega!U19))</f>
        <v/>
      </c>
      <c r="V19" s="8">
        <f>IF(p_reset=1,0,0.25*(W19+U19+V18+V20+p_h^2*Omega!V19))</f>
        <v/>
      </c>
      <c r="W19" s="8">
        <f>IF(p_reset=1,0,0.25*(X19+V19+W18+W20+p_h^2*Omega!W19))</f>
        <v/>
      </c>
      <c r="X19" s="8">
        <f>IF(p_reset=1,0,0.25*(Y19+W19+X18+X20+p_h^2*Omega!X19))</f>
        <v/>
      </c>
      <c r="Y19" s="8">
        <f>IF(p_reset=1,0,0.25*(Z19+X19+Y18+Y20+p_h^2*Omega!Y19))</f>
        <v/>
      </c>
      <c r="Z19" s="8">
        <f>IF(p_reset=1,0,0.25*(AA19+Y19+Z18+Z20+p_h^2*Omega!Z19))</f>
        <v/>
      </c>
      <c r="AA19" s="8">
        <f>IF(p_reset=1,0,0.25*(AB19+Z19+AA18+AA20+p_h^2*Omega!AA19))</f>
        <v/>
      </c>
      <c r="AB19" s="8">
        <f>IF(p_reset=1,0,0.25*(AC19+AA19+AB18+AB20+p_h^2*Omega!AB19))</f>
        <v/>
      </c>
      <c r="AC19" s="8">
        <f>IF(p_reset=1,0,0.25*(AD19+AB19+AC18+AC20+p_h^2*Omega!AC19))</f>
        <v/>
      </c>
      <c r="AD19" s="8">
        <f>IF(p_reset=1,0,0.25*(AE19+AC19+AD18+AD20+p_h^2*Omega!AD19))</f>
        <v/>
      </c>
      <c r="AE19" s="8">
        <f>IF(p_reset=1,0,0.25*(AF19+AD19+AE18+AE20+p_h^2*Omega!AE19))</f>
        <v/>
      </c>
      <c r="AF19" s="8">
        <f>IF(p_reset=1,0,0.25*(AG19+AE19+AF18+AF20+p_h^2*Omega!AF19))</f>
        <v/>
      </c>
      <c r="AG19" s="8">
        <f>IF(p_reset=1,0,0.25*(AH19+AF19+AG18+AG20+p_h^2*Omega!AG19))</f>
        <v/>
      </c>
      <c r="AH19" s="8" t="n">
        <v>0</v>
      </c>
    </row>
    <row r="20">
      <c r="A20" s="7">
        <f>A19-p_h</f>
        <v/>
      </c>
      <c r="B20" s="8" t="n">
        <v>0</v>
      </c>
      <c r="C20" s="8">
        <f>IF(p_reset=1,0,0.25*(D20+B20+C19+C21+p_h^2*Omega!C20))</f>
        <v/>
      </c>
      <c r="D20" s="8">
        <f>IF(p_reset=1,0,0.25*(E20+C20+D19+D21+p_h^2*Omega!D20))</f>
        <v/>
      </c>
      <c r="E20" s="8">
        <f>IF(p_reset=1,0,0.25*(F20+D20+E19+E21+p_h^2*Omega!E20))</f>
        <v/>
      </c>
      <c r="F20" s="8">
        <f>IF(p_reset=1,0,0.25*(G20+E20+F19+F21+p_h^2*Omega!F20))</f>
        <v/>
      </c>
      <c r="G20" s="8">
        <f>IF(p_reset=1,0,0.25*(H20+F20+G19+G21+p_h^2*Omega!G20))</f>
        <v/>
      </c>
      <c r="H20" s="8">
        <f>IF(p_reset=1,0,0.25*(I20+G20+H19+H21+p_h^2*Omega!H20))</f>
        <v/>
      </c>
      <c r="I20" s="8">
        <f>IF(p_reset=1,0,0.25*(J20+H20+I19+I21+p_h^2*Omega!I20))</f>
        <v/>
      </c>
      <c r="J20" s="8">
        <f>IF(p_reset=1,0,0.25*(K20+I20+J19+J21+p_h^2*Omega!J20))</f>
        <v/>
      </c>
      <c r="K20" s="8">
        <f>IF(p_reset=1,0,0.25*(L20+J20+K19+K21+p_h^2*Omega!K20))</f>
        <v/>
      </c>
      <c r="L20" s="8">
        <f>IF(p_reset=1,0,0.25*(M20+K20+L19+L21+p_h^2*Omega!L20))</f>
        <v/>
      </c>
      <c r="M20" s="8">
        <f>IF(p_reset=1,0,0.25*(N20+L20+M19+M21+p_h^2*Omega!M20))</f>
        <v/>
      </c>
      <c r="N20" s="8">
        <f>IF(p_reset=1,0,0.25*(O20+M20+N19+N21+p_h^2*Omega!N20))</f>
        <v/>
      </c>
      <c r="O20" s="8">
        <f>IF(p_reset=1,0,0.25*(P20+N20+O19+O21+p_h^2*Omega!O20))</f>
        <v/>
      </c>
      <c r="P20" s="8">
        <f>IF(p_reset=1,0,0.25*(Q20+O20+P19+P21+p_h^2*Omega!P20))</f>
        <v/>
      </c>
      <c r="Q20" s="8">
        <f>IF(p_reset=1,0,0.25*(R20+P20+Q19+Q21+p_h^2*Omega!Q20))</f>
        <v/>
      </c>
      <c r="R20" s="8">
        <f>IF(p_reset=1,0,0.25*(S20+Q20+R19+R21+p_h^2*Omega!R20))</f>
        <v/>
      </c>
      <c r="S20" s="8">
        <f>IF(p_reset=1,0,0.25*(T20+R20+S19+S21+p_h^2*Omega!S20))</f>
        <v/>
      </c>
      <c r="T20" s="8">
        <f>IF(p_reset=1,0,0.25*(U20+S20+T19+T21+p_h^2*Omega!T20))</f>
        <v/>
      </c>
      <c r="U20" s="8">
        <f>IF(p_reset=1,0,0.25*(V20+T20+U19+U21+p_h^2*Omega!U20))</f>
        <v/>
      </c>
      <c r="V20" s="8">
        <f>IF(p_reset=1,0,0.25*(W20+U20+V19+V21+p_h^2*Omega!V20))</f>
        <v/>
      </c>
      <c r="W20" s="8">
        <f>IF(p_reset=1,0,0.25*(X20+V20+W19+W21+p_h^2*Omega!W20))</f>
        <v/>
      </c>
      <c r="X20" s="8">
        <f>IF(p_reset=1,0,0.25*(Y20+W20+X19+X21+p_h^2*Omega!X20))</f>
        <v/>
      </c>
      <c r="Y20" s="8">
        <f>IF(p_reset=1,0,0.25*(Z20+X20+Y19+Y21+p_h^2*Omega!Y20))</f>
        <v/>
      </c>
      <c r="Z20" s="8">
        <f>IF(p_reset=1,0,0.25*(AA20+Y20+Z19+Z21+p_h^2*Omega!Z20))</f>
        <v/>
      </c>
      <c r="AA20" s="8">
        <f>IF(p_reset=1,0,0.25*(AB20+Z20+AA19+AA21+p_h^2*Omega!AA20))</f>
        <v/>
      </c>
      <c r="AB20" s="8">
        <f>IF(p_reset=1,0,0.25*(AC20+AA20+AB19+AB21+p_h^2*Omega!AB20))</f>
        <v/>
      </c>
      <c r="AC20" s="8">
        <f>IF(p_reset=1,0,0.25*(AD20+AB20+AC19+AC21+p_h^2*Omega!AC20))</f>
        <v/>
      </c>
      <c r="AD20" s="8">
        <f>IF(p_reset=1,0,0.25*(AE20+AC20+AD19+AD21+p_h^2*Omega!AD20))</f>
        <v/>
      </c>
      <c r="AE20" s="8">
        <f>IF(p_reset=1,0,0.25*(AF20+AD20+AE19+AE21+p_h^2*Omega!AE20))</f>
        <v/>
      </c>
      <c r="AF20" s="8">
        <f>IF(p_reset=1,0,0.25*(AG20+AE20+AF19+AF21+p_h^2*Omega!AF20))</f>
        <v/>
      </c>
      <c r="AG20" s="8">
        <f>IF(p_reset=1,0,0.25*(AH20+AF20+AG19+AG21+p_h^2*Omega!AG20))</f>
        <v/>
      </c>
      <c r="AH20" s="8" t="n">
        <v>0</v>
      </c>
    </row>
    <row r="21">
      <c r="A21" s="7">
        <f>A20-p_h</f>
        <v/>
      </c>
      <c r="B21" s="8" t="n">
        <v>0</v>
      </c>
      <c r="C21" s="8">
        <f>IF(p_reset=1,0,0.25*(D21+B21+C20+C22+p_h^2*Omega!C21))</f>
        <v/>
      </c>
      <c r="D21" s="8">
        <f>IF(p_reset=1,0,0.25*(E21+C21+D20+D22+p_h^2*Omega!D21))</f>
        <v/>
      </c>
      <c r="E21" s="8">
        <f>IF(p_reset=1,0,0.25*(F21+D21+E20+E22+p_h^2*Omega!E21))</f>
        <v/>
      </c>
      <c r="F21" s="8">
        <f>IF(p_reset=1,0,0.25*(G21+E21+F20+F22+p_h^2*Omega!F21))</f>
        <v/>
      </c>
      <c r="G21" s="8">
        <f>IF(p_reset=1,0,0.25*(H21+F21+G20+G22+p_h^2*Omega!G21))</f>
        <v/>
      </c>
      <c r="H21" s="8">
        <f>IF(p_reset=1,0,0.25*(I21+G21+H20+H22+p_h^2*Omega!H21))</f>
        <v/>
      </c>
      <c r="I21" s="8">
        <f>IF(p_reset=1,0,0.25*(J21+H21+I20+I22+p_h^2*Omega!I21))</f>
        <v/>
      </c>
      <c r="J21" s="8">
        <f>IF(p_reset=1,0,0.25*(K21+I21+J20+J22+p_h^2*Omega!J21))</f>
        <v/>
      </c>
      <c r="K21" s="8">
        <f>IF(p_reset=1,0,0.25*(L21+J21+K20+K22+p_h^2*Omega!K21))</f>
        <v/>
      </c>
      <c r="L21" s="8">
        <f>IF(p_reset=1,0,0.25*(M21+K21+L20+L22+p_h^2*Omega!L21))</f>
        <v/>
      </c>
      <c r="M21" s="8">
        <f>IF(p_reset=1,0,0.25*(N21+L21+M20+M22+p_h^2*Omega!M21))</f>
        <v/>
      </c>
      <c r="N21" s="8">
        <f>IF(p_reset=1,0,0.25*(O21+M21+N20+N22+p_h^2*Omega!N21))</f>
        <v/>
      </c>
      <c r="O21" s="8">
        <f>IF(p_reset=1,0,0.25*(P21+N21+O20+O22+p_h^2*Omega!O21))</f>
        <v/>
      </c>
      <c r="P21" s="8">
        <f>IF(p_reset=1,0,0.25*(Q21+O21+P20+P22+p_h^2*Omega!P21))</f>
        <v/>
      </c>
      <c r="Q21" s="8">
        <f>IF(p_reset=1,0,0.25*(R21+P21+Q20+Q22+p_h^2*Omega!Q21))</f>
        <v/>
      </c>
      <c r="R21" s="8">
        <f>IF(p_reset=1,0,0.25*(S21+Q21+R20+R22+p_h^2*Omega!R21))</f>
        <v/>
      </c>
      <c r="S21" s="8">
        <f>IF(p_reset=1,0,0.25*(T21+R21+S20+S22+p_h^2*Omega!S21))</f>
        <v/>
      </c>
      <c r="T21" s="8">
        <f>IF(p_reset=1,0,0.25*(U21+S21+T20+T22+p_h^2*Omega!T21))</f>
        <v/>
      </c>
      <c r="U21" s="8">
        <f>IF(p_reset=1,0,0.25*(V21+T21+U20+U22+p_h^2*Omega!U21))</f>
        <v/>
      </c>
      <c r="V21" s="8">
        <f>IF(p_reset=1,0,0.25*(W21+U21+V20+V22+p_h^2*Omega!V21))</f>
        <v/>
      </c>
      <c r="W21" s="8">
        <f>IF(p_reset=1,0,0.25*(X21+V21+W20+W22+p_h^2*Omega!W21))</f>
        <v/>
      </c>
      <c r="X21" s="8">
        <f>IF(p_reset=1,0,0.25*(Y21+W21+X20+X22+p_h^2*Omega!X21))</f>
        <v/>
      </c>
      <c r="Y21" s="8">
        <f>IF(p_reset=1,0,0.25*(Z21+X21+Y20+Y22+p_h^2*Omega!Y21))</f>
        <v/>
      </c>
      <c r="Z21" s="8">
        <f>IF(p_reset=1,0,0.25*(AA21+Y21+Z20+Z22+p_h^2*Omega!Z21))</f>
        <v/>
      </c>
      <c r="AA21" s="8">
        <f>IF(p_reset=1,0,0.25*(AB21+Z21+AA20+AA22+p_h^2*Omega!AA21))</f>
        <v/>
      </c>
      <c r="AB21" s="8">
        <f>IF(p_reset=1,0,0.25*(AC21+AA21+AB20+AB22+p_h^2*Omega!AB21))</f>
        <v/>
      </c>
      <c r="AC21" s="8">
        <f>IF(p_reset=1,0,0.25*(AD21+AB21+AC20+AC22+p_h^2*Omega!AC21))</f>
        <v/>
      </c>
      <c r="AD21" s="8">
        <f>IF(p_reset=1,0,0.25*(AE21+AC21+AD20+AD22+p_h^2*Omega!AD21))</f>
        <v/>
      </c>
      <c r="AE21" s="8">
        <f>IF(p_reset=1,0,0.25*(AF21+AD21+AE20+AE22+p_h^2*Omega!AE21))</f>
        <v/>
      </c>
      <c r="AF21" s="8">
        <f>IF(p_reset=1,0,0.25*(AG21+AE21+AF20+AF22+p_h^2*Omega!AF21))</f>
        <v/>
      </c>
      <c r="AG21" s="8">
        <f>IF(p_reset=1,0,0.25*(AH21+AF21+AG20+AG22+p_h^2*Omega!AG21))</f>
        <v/>
      </c>
      <c r="AH21" s="8" t="n">
        <v>0</v>
      </c>
    </row>
    <row r="22">
      <c r="A22" s="7">
        <f>A21-p_h</f>
        <v/>
      </c>
      <c r="B22" s="8" t="n">
        <v>0</v>
      </c>
      <c r="C22" s="8">
        <f>IF(p_reset=1,0,0.25*(D22+B22+C21+C23+p_h^2*Omega!C22))</f>
        <v/>
      </c>
      <c r="D22" s="8">
        <f>IF(p_reset=1,0,0.25*(E22+C22+D21+D23+p_h^2*Omega!D22))</f>
        <v/>
      </c>
      <c r="E22" s="8">
        <f>IF(p_reset=1,0,0.25*(F22+D22+E21+E23+p_h^2*Omega!E22))</f>
        <v/>
      </c>
      <c r="F22" s="8">
        <f>IF(p_reset=1,0,0.25*(G22+E22+F21+F23+p_h^2*Omega!F22))</f>
        <v/>
      </c>
      <c r="G22" s="8">
        <f>IF(p_reset=1,0,0.25*(H22+F22+G21+G23+p_h^2*Omega!G22))</f>
        <v/>
      </c>
      <c r="H22" s="8">
        <f>IF(p_reset=1,0,0.25*(I22+G22+H21+H23+p_h^2*Omega!H22))</f>
        <v/>
      </c>
      <c r="I22" s="8">
        <f>IF(p_reset=1,0,0.25*(J22+H22+I21+I23+p_h^2*Omega!I22))</f>
        <v/>
      </c>
      <c r="J22" s="8">
        <f>IF(p_reset=1,0,0.25*(K22+I22+J21+J23+p_h^2*Omega!J22))</f>
        <v/>
      </c>
      <c r="K22" s="8">
        <f>IF(p_reset=1,0,0.25*(L22+J22+K21+K23+p_h^2*Omega!K22))</f>
        <v/>
      </c>
      <c r="L22" s="8">
        <f>IF(p_reset=1,0,0.25*(M22+K22+L21+L23+p_h^2*Omega!L22))</f>
        <v/>
      </c>
      <c r="M22" s="8">
        <f>IF(p_reset=1,0,0.25*(N22+L22+M21+M23+p_h^2*Omega!M22))</f>
        <v/>
      </c>
      <c r="N22" s="8">
        <f>IF(p_reset=1,0,0.25*(O22+M22+N21+N23+p_h^2*Omega!N22))</f>
        <v/>
      </c>
      <c r="O22" s="8">
        <f>IF(p_reset=1,0,0.25*(P22+N22+O21+O23+p_h^2*Omega!O22))</f>
        <v/>
      </c>
      <c r="P22" s="8">
        <f>IF(p_reset=1,0,0.25*(Q22+O22+P21+P23+p_h^2*Omega!P22))</f>
        <v/>
      </c>
      <c r="Q22" s="8">
        <f>IF(p_reset=1,0,0.25*(R22+P22+Q21+Q23+p_h^2*Omega!Q22))</f>
        <v/>
      </c>
      <c r="R22" s="8">
        <f>IF(p_reset=1,0,0.25*(S22+Q22+R21+R23+p_h^2*Omega!R22))</f>
        <v/>
      </c>
      <c r="S22" s="8">
        <f>IF(p_reset=1,0,0.25*(T22+R22+S21+S23+p_h^2*Omega!S22))</f>
        <v/>
      </c>
      <c r="T22" s="8">
        <f>IF(p_reset=1,0,0.25*(U22+S22+T21+T23+p_h^2*Omega!T22))</f>
        <v/>
      </c>
      <c r="U22" s="8">
        <f>IF(p_reset=1,0,0.25*(V22+T22+U21+U23+p_h^2*Omega!U22))</f>
        <v/>
      </c>
      <c r="V22" s="8">
        <f>IF(p_reset=1,0,0.25*(W22+U22+V21+V23+p_h^2*Omega!V22))</f>
        <v/>
      </c>
      <c r="W22" s="8">
        <f>IF(p_reset=1,0,0.25*(X22+V22+W21+W23+p_h^2*Omega!W22))</f>
        <v/>
      </c>
      <c r="X22" s="8">
        <f>IF(p_reset=1,0,0.25*(Y22+W22+X21+X23+p_h^2*Omega!X22))</f>
        <v/>
      </c>
      <c r="Y22" s="8">
        <f>IF(p_reset=1,0,0.25*(Z22+X22+Y21+Y23+p_h^2*Omega!Y22))</f>
        <v/>
      </c>
      <c r="Z22" s="8">
        <f>IF(p_reset=1,0,0.25*(AA22+Y22+Z21+Z23+p_h^2*Omega!Z22))</f>
        <v/>
      </c>
      <c r="AA22" s="8">
        <f>IF(p_reset=1,0,0.25*(AB22+Z22+AA21+AA23+p_h^2*Omega!AA22))</f>
        <v/>
      </c>
      <c r="AB22" s="8">
        <f>IF(p_reset=1,0,0.25*(AC22+AA22+AB21+AB23+p_h^2*Omega!AB22))</f>
        <v/>
      </c>
      <c r="AC22" s="8">
        <f>IF(p_reset=1,0,0.25*(AD22+AB22+AC21+AC23+p_h^2*Omega!AC22))</f>
        <v/>
      </c>
      <c r="AD22" s="8">
        <f>IF(p_reset=1,0,0.25*(AE22+AC22+AD21+AD23+p_h^2*Omega!AD22))</f>
        <v/>
      </c>
      <c r="AE22" s="8">
        <f>IF(p_reset=1,0,0.25*(AF22+AD22+AE21+AE23+p_h^2*Omega!AE22))</f>
        <v/>
      </c>
      <c r="AF22" s="8">
        <f>IF(p_reset=1,0,0.25*(AG22+AE22+AF21+AF23+p_h^2*Omega!AF22))</f>
        <v/>
      </c>
      <c r="AG22" s="8">
        <f>IF(p_reset=1,0,0.25*(AH22+AF22+AG21+AG23+p_h^2*Omega!AG22))</f>
        <v/>
      </c>
      <c r="AH22" s="8" t="n">
        <v>0</v>
      </c>
    </row>
    <row r="23">
      <c r="A23" s="7">
        <f>A22-p_h</f>
        <v/>
      </c>
      <c r="B23" s="8" t="n">
        <v>0</v>
      </c>
      <c r="C23" s="8">
        <f>IF(p_reset=1,0,0.25*(D23+B23+C22+C24+p_h^2*Omega!C23))</f>
        <v/>
      </c>
      <c r="D23" s="8">
        <f>IF(p_reset=1,0,0.25*(E23+C23+D22+D24+p_h^2*Omega!D23))</f>
        <v/>
      </c>
      <c r="E23" s="8">
        <f>IF(p_reset=1,0,0.25*(F23+D23+E22+E24+p_h^2*Omega!E23))</f>
        <v/>
      </c>
      <c r="F23" s="8">
        <f>IF(p_reset=1,0,0.25*(G23+E23+F22+F24+p_h^2*Omega!F23))</f>
        <v/>
      </c>
      <c r="G23" s="8">
        <f>IF(p_reset=1,0,0.25*(H23+F23+G22+G24+p_h^2*Omega!G23))</f>
        <v/>
      </c>
      <c r="H23" s="8">
        <f>IF(p_reset=1,0,0.25*(I23+G23+H22+H24+p_h^2*Omega!H23))</f>
        <v/>
      </c>
      <c r="I23" s="8">
        <f>IF(p_reset=1,0,0.25*(J23+H23+I22+I24+p_h^2*Omega!I23))</f>
        <v/>
      </c>
      <c r="J23" s="8">
        <f>IF(p_reset=1,0,0.25*(K23+I23+J22+J24+p_h^2*Omega!J23))</f>
        <v/>
      </c>
      <c r="K23" s="8">
        <f>IF(p_reset=1,0,0.25*(L23+J23+K22+K24+p_h^2*Omega!K23))</f>
        <v/>
      </c>
      <c r="L23" s="8">
        <f>IF(p_reset=1,0,0.25*(M23+K23+L22+L24+p_h^2*Omega!L23))</f>
        <v/>
      </c>
      <c r="M23" s="8">
        <f>IF(p_reset=1,0,0.25*(N23+L23+M22+M24+p_h^2*Omega!M23))</f>
        <v/>
      </c>
      <c r="N23" s="8">
        <f>IF(p_reset=1,0,0.25*(O23+M23+N22+N24+p_h^2*Omega!N23))</f>
        <v/>
      </c>
      <c r="O23" s="8">
        <f>IF(p_reset=1,0,0.25*(P23+N23+O22+O24+p_h^2*Omega!O23))</f>
        <v/>
      </c>
      <c r="P23" s="8">
        <f>IF(p_reset=1,0,0.25*(Q23+O23+P22+P24+p_h^2*Omega!P23))</f>
        <v/>
      </c>
      <c r="Q23" s="8">
        <f>IF(p_reset=1,0,0.25*(R23+P23+Q22+Q24+p_h^2*Omega!Q23))</f>
        <v/>
      </c>
      <c r="R23" s="8">
        <f>IF(p_reset=1,0,0.25*(S23+Q23+R22+R24+p_h^2*Omega!R23))</f>
        <v/>
      </c>
      <c r="S23" s="8">
        <f>IF(p_reset=1,0,0.25*(T23+R23+S22+S24+p_h^2*Omega!S23))</f>
        <v/>
      </c>
      <c r="T23" s="8">
        <f>IF(p_reset=1,0,0.25*(U23+S23+T22+T24+p_h^2*Omega!T23))</f>
        <v/>
      </c>
      <c r="U23" s="8">
        <f>IF(p_reset=1,0,0.25*(V23+T23+U22+U24+p_h^2*Omega!U23))</f>
        <v/>
      </c>
      <c r="V23" s="8">
        <f>IF(p_reset=1,0,0.25*(W23+U23+V22+V24+p_h^2*Omega!V23))</f>
        <v/>
      </c>
      <c r="W23" s="8">
        <f>IF(p_reset=1,0,0.25*(X23+V23+W22+W24+p_h^2*Omega!W23))</f>
        <v/>
      </c>
      <c r="X23" s="8">
        <f>IF(p_reset=1,0,0.25*(Y23+W23+X22+X24+p_h^2*Omega!X23))</f>
        <v/>
      </c>
      <c r="Y23" s="8">
        <f>IF(p_reset=1,0,0.25*(Z23+X23+Y22+Y24+p_h^2*Omega!Y23))</f>
        <v/>
      </c>
      <c r="Z23" s="8">
        <f>IF(p_reset=1,0,0.25*(AA23+Y23+Z22+Z24+p_h^2*Omega!Z23))</f>
        <v/>
      </c>
      <c r="AA23" s="8">
        <f>IF(p_reset=1,0,0.25*(AB23+Z23+AA22+AA24+p_h^2*Omega!AA23))</f>
        <v/>
      </c>
      <c r="AB23" s="8">
        <f>IF(p_reset=1,0,0.25*(AC23+AA23+AB22+AB24+p_h^2*Omega!AB23))</f>
        <v/>
      </c>
      <c r="AC23" s="8">
        <f>IF(p_reset=1,0,0.25*(AD23+AB23+AC22+AC24+p_h^2*Omega!AC23))</f>
        <v/>
      </c>
      <c r="AD23" s="8">
        <f>IF(p_reset=1,0,0.25*(AE23+AC23+AD22+AD24+p_h^2*Omega!AD23))</f>
        <v/>
      </c>
      <c r="AE23" s="8">
        <f>IF(p_reset=1,0,0.25*(AF23+AD23+AE22+AE24+p_h^2*Omega!AE23))</f>
        <v/>
      </c>
      <c r="AF23" s="8">
        <f>IF(p_reset=1,0,0.25*(AG23+AE23+AF22+AF24+p_h^2*Omega!AF23))</f>
        <v/>
      </c>
      <c r="AG23" s="8">
        <f>IF(p_reset=1,0,0.25*(AH23+AF23+AG22+AG24+p_h^2*Omega!AG23))</f>
        <v/>
      </c>
      <c r="AH23" s="8" t="n">
        <v>0</v>
      </c>
    </row>
    <row r="24">
      <c r="A24" s="7">
        <f>A23-p_h</f>
        <v/>
      </c>
      <c r="B24" s="8" t="n">
        <v>0</v>
      </c>
      <c r="C24" s="8">
        <f>IF(p_reset=1,0,0.25*(D24+B24+C23+C25+p_h^2*Omega!C24))</f>
        <v/>
      </c>
      <c r="D24" s="8">
        <f>IF(p_reset=1,0,0.25*(E24+C24+D23+D25+p_h^2*Omega!D24))</f>
        <v/>
      </c>
      <c r="E24" s="8">
        <f>IF(p_reset=1,0,0.25*(F24+D24+E23+E25+p_h^2*Omega!E24))</f>
        <v/>
      </c>
      <c r="F24" s="8">
        <f>IF(p_reset=1,0,0.25*(G24+E24+F23+F25+p_h^2*Omega!F24))</f>
        <v/>
      </c>
      <c r="G24" s="8">
        <f>IF(p_reset=1,0,0.25*(H24+F24+G23+G25+p_h^2*Omega!G24))</f>
        <v/>
      </c>
      <c r="H24" s="8">
        <f>IF(p_reset=1,0,0.25*(I24+G24+H23+H25+p_h^2*Omega!H24))</f>
        <v/>
      </c>
      <c r="I24" s="8">
        <f>IF(p_reset=1,0,0.25*(J24+H24+I23+I25+p_h^2*Omega!I24))</f>
        <v/>
      </c>
      <c r="J24" s="8">
        <f>IF(p_reset=1,0,0.25*(K24+I24+J23+J25+p_h^2*Omega!J24))</f>
        <v/>
      </c>
      <c r="K24" s="8">
        <f>IF(p_reset=1,0,0.25*(L24+J24+K23+K25+p_h^2*Omega!K24))</f>
        <v/>
      </c>
      <c r="L24" s="8">
        <f>IF(p_reset=1,0,0.25*(M24+K24+L23+L25+p_h^2*Omega!L24))</f>
        <v/>
      </c>
      <c r="M24" s="8">
        <f>IF(p_reset=1,0,0.25*(N24+L24+M23+M25+p_h^2*Omega!M24))</f>
        <v/>
      </c>
      <c r="N24" s="8">
        <f>IF(p_reset=1,0,0.25*(O24+M24+N23+N25+p_h^2*Omega!N24))</f>
        <v/>
      </c>
      <c r="O24" s="8">
        <f>IF(p_reset=1,0,0.25*(P24+N24+O23+O25+p_h^2*Omega!O24))</f>
        <v/>
      </c>
      <c r="P24" s="8">
        <f>IF(p_reset=1,0,0.25*(Q24+O24+P23+P25+p_h^2*Omega!P24))</f>
        <v/>
      </c>
      <c r="Q24" s="8">
        <f>IF(p_reset=1,0,0.25*(R24+P24+Q23+Q25+p_h^2*Omega!Q24))</f>
        <v/>
      </c>
      <c r="R24" s="8">
        <f>IF(p_reset=1,0,0.25*(S24+Q24+R23+R25+p_h^2*Omega!R24))</f>
        <v/>
      </c>
      <c r="S24" s="8">
        <f>IF(p_reset=1,0,0.25*(T24+R24+S23+S25+p_h^2*Omega!S24))</f>
        <v/>
      </c>
      <c r="T24" s="8">
        <f>IF(p_reset=1,0,0.25*(U24+S24+T23+T25+p_h^2*Omega!T24))</f>
        <v/>
      </c>
      <c r="U24" s="8">
        <f>IF(p_reset=1,0,0.25*(V24+T24+U23+U25+p_h^2*Omega!U24))</f>
        <v/>
      </c>
      <c r="V24" s="8">
        <f>IF(p_reset=1,0,0.25*(W24+U24+V23+V25+p_h^2*Omega!V24))</f>
        <v/>
      </c>
      <c r="W24" s="8">
        <f>IF(p_reset=1,0,0.25*(X24+V24+W23+W25+p_h^2*Omega!W24))</f>
        <v/>
      </c>
      <c r="X24" s="8">
        <f>IF(p_reset=1,0,0.25*(Y24+W24+X23+X25+p_h^2*Omega!X24))</f>
        <v/>
      </c>
      <c r="Y24" s="8">
        <f>IF(p_reset=1,0,0.25*(Z24+X24+Y23+Y25+p_h^2*Omega!Y24))</f>
        <v/>
      </c>
      <c r="Z24" s="8">
        <f>IF(p_reset=1,0,0.25*(AA24+Y24+Z23+Z25+p_h^2*Omega!Z24))</f>
        <v/>
      </c>
      <c r="AA24" s="8">
        <f>IF(p_reset=1,0,0.25*(AB24+Z24+AA23+AA25+p_h^2*Omega!AA24))</f>
        <v/>
      </c>
      <c r="AB24" s="8">
        <f>IF(p_reset=1,0,0.25*(AC24+AA24+AB23+AB25+p_h^2*Omega!AB24))</f>
        <v/>
      </c>
      <c r="AC24" s="8">
        <f>IF(p_reset=1,0,0.25*(AD24+AB24+AC23+AC25+p_h^2*Omega!AC24))</f>
        <v/>
      </c>
      <c r="AD24" s="8">
        <f>IF(p_reset=1,0,0.25*(AE24+AC24+AD23+AD25+p_h^2*Omega!AD24))</f>
        <v/>
      </c>
      <c r="AE24" s="8">
        <f>IF(p_reset=1,0,0.25*(AF24+AD24+AE23+AE25+p_h^2*Omega!AE24))</f>
        <v/>
      </c>
      <c r="AF24" s="8">
        <f>IF(p_reset=1,0,0.25*(AG24+AE24+AF23+AF25+p_h^2*Omega!AF24))</f>
        <v/>
      </c>
      <c r="AG24" s="8">
        <f>IF(p_reset=1,0,0.25*(AH24+AF24+AG23+AG25+p_h^2*Omega!AG24))</f>
        <v/>
      </c>
      <c r="AH24" s="8" t="n">
        <v>0</v>
      </c>
    </row>
    <row r="25">
      <c r="A25" s="7">
        <f>A24-p_h</f>
        <v/>
      </c>
      <c r="B25" s="8" t="n">
        <v>0</v>
      </c>
      <c r="C25" s="8">
        <f>IF(p_reset=1,0,0.25*(D25+B25+C24+C26+p_h^2*Omega!C25))</f>
        <v/>
      </c>
      <c r="D25" s="8">
        <f>IF(p_reset=1,0,0.25*(E25+C25+D24+D26+p_h^2*Omega!D25))</f>
        <v/>
      </c>
      <c r="E25" s="8">
        <f>IF(p_reset=1,0,0.25*(F25+D25+E24+E26+p_h^2*Omega!E25))</f>
        <v/>
      </c>
      <c r="F25" s="8">
        <f>IF(p_reset=1,0,0.25*(G25+E25+F24+F26+p_h^2*Omega!F25))</f>
        <v/>
      </c>
      <c r="G25" s="8">
        <f>IF(p_reset=1,0,0.25*(H25+F25+G24+G26+p_h^2*Omega!G25))</f>
        <v/>
      </c>
      <c r="H25" s="8">
        <f>IF(p_reset=1,0,0.25*(I25+G25+H24+H26+p_h^2*Omega!H25))</f>
        <v/>
      </c>
      <c r="I25" s="8">
        <f>IF(p_reset=1,0,0.25*(J25+H25+I24+I26+p_h^2*Omega!I25))</f>
        <v/>
      </c>
      <c r="J25" s="8">
        <f>IF(p_reset=1,0,0.25*(K25+I25+J24+J26+p_h^2*Omega!J25))</f>
        <v/>
      </c>
      <c r="K25" s="8">
        <f>IF(p_reset=1,0,0.25*(L25+J25+K24+K26+p_h^2*Omega!K25))</f>
        <v/>
      </c>
      <c r="L25" s="8">
        <f>IF(p_reset=1,0,0.25*(M25+K25+L24+L26+p_h^2*Omega!L25))</f>
        <v/>
      </c>
      <c r="M25" s="8">
        <f>IF(p_reset=1,0,0.25*(N25+L25+M24+M26+p_h^2*Omega!M25))</f>
        <v/>
      </c>
      <c r="N25" s="8">
        <f>IF(p_reset=1,0,0.25*(O25+M25+N24+N26+p_h^2*Omega!N25))</f>
        <v/>
      </c>
      <c r="O25" s="8">
        <f>IF(p_reset=1,0,0.25*(P25+N25+O24+O26+p_h^2*Omega!O25))</f>
        <v/>
      </c>
      <c r="P25" s="8">
        <f>IF(p_reset=1,0,0.25*(Q25+O25+P24+P26+p_h^2*Omega!P25))</f>
        <v/>
      </c>
      <c r="Q25" s="8">
        <f>IF(p_reset=1,0,0.25*(R25+P25+Q24+Q26+p_h^2*Omega!Q25))</f>
        <v/>
      </c>
      <c r="R25" s="8">
        <f>IF(p_reset=1,0,0.25*(S25+Q25+R24+R26+p_h^2*Omega!R25))</f>
        <v/>
      </c>
      <c r="S25" s="8">
        <f>IF(p_reset=1,0,0.25*(T25+R25+S24+S26+p_h^2*Omega!S25))</f>
        <v/>
      </c>
      <c r="T25" s="8">
        <f>IF(p_reset=1,0,0.25*(U25+S25+T24+T26+p_h^2*Omega!T25))</f>
        <v/>
      </c>
      <c r="U25" s="8">
        <f>IF(p_reset=1,0,0.25*(V25+T25+U24+U26+p_h^2*Omega!U25))</f>
        <v/>
      </c>
      <c r="V25" s="8">
        <f>IF(p_reset=1,0,0.25*(W25+U25+V24+V26+p_h^2*Omega!V25))</f>
        <v/>
      </c>
      <c r="W25" s="8">
        <f>IF(p_reset=1,0,0.25*(X25+V25+W24+W26+p_h^2*Omega!W25))</f>
        <v/>
      </c>
      <c r="X25" s="8">
        <f>IF(p_reset=1,0,0.25*(Y25+W25+X24+X26+p_h^2*Omega!X25))</f>
        <v/>
      </c>
      <c r="Y25" s="8">
        <f>IF(p_reset=1,0,0.25*(Z25+X25+Y24+Y26+p_h^2*Omega!Y25))</f>
        <v/>
      </c>
      <c r="Z25" s="8">
        <f>IF(p_reset=1,0,0.25*(AA25+Y25+Z24+Z26+p_h^2*Omega!Z25))</f>
        <v/>
      </c>
      <c r="AA25" s="8">
        <f>IF(p_reset=1,0,0.25*(AB25+Z25+AA24+AA26+p_h^2*Omega!AA25))</f>
        <v/>
      </c>
      <c r="AB25" s="8">
        <f>IF(p_reset=1,0,0.25*(AC25+AA25+AB24+AB26+p_h^2*Omega!AB25))</f>
        <v/>
      </c>
      <c r="AC25" s="8">
        <f>IF(p_reset=1,0,0.25*(AD25+AB25+AC24+AC26+p_h^2*Omega!AC25))</f>
        <v/>
      </c>
      <c r="AD25" s="8">
        <f>IF(p_reset=1,0,0.25*(AE25+AC25+AD24+AD26+p_h^2*Omega!AD25))</f>
        <v/>
      </c>
      <c r="AE25" s="8">
        <f>IF(p_reset=1,0,0.25*(AF25+AD25+AE24+AE26+p_h^2*Omega!AE25))</f>
        <v/>
      </c>
      <c r="AF25" s="8">
        <f>IF(p_reset=1,0,0.25*(AG25+AE25+AF24+AF26+p_h^2*Omega!AF25))</f>
        <v/>
      </c>
      <c r="AG25" s="8">
        <f>IF(p_reset=1,0,0.25*(AH25+AF25+AG24+AG26+p_h^2*Omega!AG25))</f>
        <v/>
      </c>
      <c r="AH25" s="8" t="n">
        <v>0</v>
      </c>
    </row>
    <row r="26">
      <c r="A26" s="7">
        <f>A25-p_h</f>
        <v/>
      </c>
      <c r="B26" s="8" t="n">
        <v>0</v>
      </c>
      <c r="C26" s="8">
        <f>IF(p_reset=1,0,0.25*(D26+B26+C25+C27+p_h^2*Omega!C26))</f>
        <v/>
      </c>
      <c r="D26" s="8">
        <f>IF(p_reset=1,0,0.25*(E26+C26+D25+D27+p_h^2*Omega!D26))</f>
        <v/>
      </c>
      <c r="E26" s="8">
        <f>IF(p_reset=1,0,0.25*(F26+D26+E25+E27+p_h^2*Omega!E26))</f>
        <v/>
      </c>
      <c r="F26" s="8">
        <f>IF(p_reset=1,0,0.25*(G26+E26+F25+F27+p_h^2*Omega!F26))</f>
        <v/>
      </c>
      <c r="G26" s="8">
        <f>IF(p_reset=1,0,0.25*(H26+F26+G25+G27+p_h^2*Omega!G26))</f>
        <v/>
      </c>
      <c r="H26" s="8">
        <f>IF(p_reset=1,0,0.25*(I26+G26+H25+H27+p_h^2*Omega!H26))</f>
        <v/>
      </c>
      <c r="I26" s="8">
        <f>IF(p_reset=1,0,0.25*(J26+H26+I25+I27+p_h^2*Omega!I26))</f>
        <v/>
      </c>
      <c r="J26" s="8">
        <f>IF(p_reset=1,0,0.25*(K26+I26+J25+J27+p_h^2*Omega!J26))</f>
        <v/>
      </c>
      <c r="K26" s="8">
        <f>IF(p_reset=1,0,0.25*(L26+J26+K25+K27+p_h^2*Omega!K26))</f>
        <v/>
      </c>
      <c r="L26" s="8">
        <f>IF(p_reset=1,0,0.25*(M26+K26+L25+L27+p_h^2*Omega!L26))</f>
        <v/>
      </c>
      <c r="M26" s="8">
        <f>IF(p_reset=1,0,0.25*(N26+L26+M25+M27+p_h^2*Omega!M26))</f>
        <v/>
      </c>
      <c r="N26" s="8">
        <f>IF(p_reset=1,0,0.25*(O26+M26+N25+N27+p_h^2*Omega!N26))</f>
        <v/>
      </c>
      <c r="O26" s="8">
        <f>IF(p_reset=1,0,0.25*(P26+N26+O25+O27+p_h^2*Omega!O26))</f>
        <v/>
      </c>
      <c r="P26" s="8">
        <f>IF(p_reset=1,0,0.25*(Q26+O26+P25+P27+p_h^2*Omega!P26))</f>
        <v/>
      </c>
      <c r="Q26" s="8">
        <f>IF(p_reset=1,0,0.25*(R26+P26+Q25+Q27+p_h^2*Omega!Q26))</f>
        <v/>
      </c>
      <c r="R26" s="8">
        <f>IF(p_reset=1,0,0.25*(S26+Q26+R25+R27+p_h^2*Omega!R26))</f>
        <v/>
      </c>
      <c r="S26" s="8">
        <f>IF(p_reset=1,0,0.25*(T26+R26+S25+S27+p_h^2*Omega!S26))</f>
        <v/>
      </c>
      <c r="T26" s="8">
        <f>IF(p_reset=1,0,0.25*(U26+S26+T25+T27+p_h^2*Omega!T26))</f>
        <v/>
      </c>
      <c r="U26" s="8">
        <f>IF(p_reset=1,0,0.25*(V26+T26+U25+U27+p_h^2*Omega!U26))</f>
        <v/>
      </c>
      <c r="V26" s="8">
        <f>IF(p_reset=1,0,0.25*(W26+U26+V25+V27+p_h^2*Omega!V26))</f>
        <v/>
      </c>
      <c r="W26" s="8">
        <f>IF(p_reset=1,0,0.25*(X26+V26+W25+W27+p_h^2*Omega!W26))</f>
        <v/>
      </c>
      <c r="X26" s="8">
        <f>IF(p_reset=1,0,0.25*(Y26+W26+X25+X27+p_h^2*Omega!X26))</f>
        <v/>
      </c>
      <c r="Y26" s="8">
        <f>IF(p_reset=1,0,0.25*(Z26+X26+Y25+Y27+p_h^2*Omega!Y26))</f>
        <v/>
      </c>
      <c r="Z26" s="8">
        <f>IF(p_reset=1,0,0.25*(AA26+Y26+Z25+Z27+p_h^2*Omega!Z26))</f>
        <v/>
      </c>
      <c r="AA26" s="8">
        <f>IF(p_reset=1,0,0.25*(AB26+Z26+AA25+AA27+p_h^2*Omega!AA26))</f>
        <v/>
      </c>
      <c r="AB26" s="8">
        <f>IF(p_reset=1,0,0.25*(AC26+AA26+AB25+AB27+p_h^2*Omega!AB26))</f>
        <v/>
      </c>
      <c r="AC26" s="8">
        <f>IF(p_reset=1,0,0.25*(AD26+AB26+AC25+AC27+p_h^2*Omega!AC26))</f>
        <v/>
      </c>
      <c r="AD26" s="8">
        <f>IF(p_reset=1,0,0.25*(AE26+AC26+AD25+AD27+p_h^2*Omega!AD26))</f>
        <v/>
      </c>
      <c r="AE26" s="8">
        <f>IF(p_reset=1,0,0.25*(AF26+AD26+AE25+AE27+p_h^2*Omega!AE26))</f>
        <v/>
      </c>
      <c r="AF26" s="8">
        <f>IF(p_reset=1,0,0.25*(AG26+AE26+AF25+AF27+p_h^2*Omega!AF26))</f>
        <v/>
      </c>
      <c r="AG26" s="8">
        <f>IF(p_reset=1,0,0.25*(AH26+AF26+AG25+AG27+p_h^2*Omega!AG26))</f>
        <v/>
      </c>
      <c r="AH26" s="8" t="n">
        <v>0</v>
      </c>
    </row>
    <row r="27">
      <c r="A27" s="7">
        <f>A26-p_h</f>
        <v/>
      </c>
      <c r="B27" s="8" t="n">
        <v>0</v>
      </c>
      <c r="C27" s="8">
        <f>IF(p_reset=1,0,0.25*(D27+B27+C26+C28+p_h^2*Omega!C27))</f>
        <v/>
      </c>
      <c r="D27" s="8">
        <f>IF(p_reset=1,0,0.25*(E27+C27+D26+D28+p_h^2*Omega!D27))</f>
        <v/>
      </c>
      <c r="E27" s="8">
        <f>IF(p_reset=1,0,0.25*(F27+D27+E26+E28+p_h^2*Omega!E27))</f>
        <v/>
      </c>
      <c r="F27" s="8">
        <f>IF(p_reset=1,0,0.25*(G27+E27+F26+F28+p_h^2*Omega!F27))</f>
        <v/>
      </c>
      <c r="G27" s="8">
        <f>IF(p_reset=1,0,0.25*(H27+F27+G26+G28+p_h^2*Omega!G27))</f>
        <v/>
      </c>
      <c r="H27" s="8">
        <f>IF(p_reset=1,0,0.25*(I27+G27+H26+H28+p_h^2*Omega!H27))</f>
        <v/>
      </c>
      <c r="I27" s="8">
        <f>IF(p_reset=1,0,0.25*(J27+H27+I26+I28+p_h^2*Omega!I27))</f>
        <v/>
      </c>
      <c r="J27" s="8">
        <f>IF(p_reset=1,0,0.25*(K27+I27+J26+J28+p_h^2*Omega!J27))</f>
        <v/>
      </c>
      <c r="K27" s="8">
        <f>IF(p_reset=1,0,0.25*(L27+J27+K26+K28+p_h^2*Omega!K27))</f>
        <v/>
      </c>
      <c r="L27" s="8">
        <f>IF(p_reset=1,0,0.25*(M27+K27+L26+L28+p_h^2*Omega!L27))</f>
        <v/>
      </c>
      <c r="M27" s="8">
        <f>IF(p_reset=1,0,0.25*(N27+L27+M26+M28+p_h^2*Omega!M27))</f>
        <v/>
      </c>
      <c r="N27" s="8">
        <f>IF(p_reset=1,0,0.25*(O27+M27+N26+N28+p_h^2*Omega!N27))</f>
        <v/>
      </c>
      <c r="O27" s="8">
        <f>IF(p_reset=1,0,0.25*(P27+N27+O26+O28+p_h^2*Omega!O27))</f>
        <v/>
      </c>
      <c r="P27" s="8">
        <f>IF(p_reset=1,0,0.25*(Q27+O27+P26+P28+p_h^2*Omega!P27))</f>
        <v/>
      </c>
      <c r="Q27" s="8">
        <f>IF(p_reset=1,0,0.25*(R27+P27+Q26+Q28+p_h^2*Omega!Q27))</f>
        <v/>
      </c>
      <c r="R27" s="8">
        <f>IF(p_reset=1,0,0.25*(S27+Q27+R26+R28+p_h^2*Omega!R27))</f>
        <v/>
      </c>
      <c r="S27" s="8">
        <f>IF(p_reset=1,0,0.25*(T27+R27+S26+S28+p_h^2*Omega!S27))</f>
        <v/>
      </c>
      <c r="T27" s="8">
        <f>IF(p_reset=1,0,0.25*(U27+S27+T26+T28+p_h^2*Omega!T27))</f>
        <v/>
      </c>
      <c r="U27" s="8">
        <f>IF(p_reset=1,0,0.25*(V27+T27+U26+U28+p_h^2*Omega!U27))</f>
        <v/>
      </c>
      <c r="V27" s="8">
        <f>IF(p_reset=1,0,0.25*(W27+U27+V26+V28+p_h^2*Omega!V27))</f>
        <v/>
      </c>
      <c r="W27" s="8">
        <f>IF(p_reset=1,0,0.25*(X27+V27+W26+W28+p_h^2*Omega!W27))</f>
        <v/>
      </c>
      <c r="X27" s="8">
        <f>IF(p_reset=1,0,0.25*(Y27+W27+X26+X28+p_h^2*Omega!X27))</f>
        <v/>
      </c>
      <c r="Y27" s="8">
        <f>IF(p_reset=1,0,0.25*(Z27+X27+Y26+Y28+p_h^2*Omega!Y27))</f>
        <v/>
      </c>
      <c r="Z27" s="8">
        <f>IF(p_reset=1,0,0.25*(AA27+Y27+Z26+Z28+p_h^2*Omega!Z27))</f>
        <v/>
      </c>
      <c r="AA27" s="8">
        <f>IF(p_reset=1,0,0.25*(AB27+Z27+AA26+AA28+p_h^2*Omega!AA27))</f>
        <v/>
      </c>
      <c r="AB27" s="8">
        <f>IF(p_reset=1,0,0.25*(AC27+AA27+AB26+AB28+p_h^2*Omega!AB27))</f>
        <v/>
      </c>
      <c r="AC27" s="8">
        <f>IF(p_reset=1,0,0.25*(AD27+AB27+AC26+AC28+p_h^2*Omega!AC27))</f>
        <v/>
      </c>
      <c r="AD27" s="8">
        <f>IF(p_reset=1,0,0.25*(AE27+AC27+AD26+AD28+p_h^2*Omega!AD27))</f>
        <v/>
      </c>
      <c r="AE27" s="8">
        <f>IF(p_reset=1,0,0.25*(AF27+AD27+AE26+AE28+p_h^2*Omega!AE27))</f>
        <v/>
      </c>
      <c r="AF27" s="8">
        <f>IF(p_reset=1,0,0.25*(AG27+AE27+AF26+AF28+p_h^2*Omega!AF27))</f>
        <v/>
      </c>
      <c r="AG27" s="8">
        <f>IF(p_reset=1,0,0.25*(AH27+AF27+AG26+AG28+p_h^2*Omega!AG27))</f>
        <v/>
      </c>
      <c r="AH27" s="8" t="n">
        <v>0</v>
      </c>
    </row>
    <row r="28">
      <c r="A28" s="7">
        <f>A27-p_h</f>
        <v/>
      </c>
      <c r="B28" s="8" t="n">
        <v>0</v>
      </c>
      <c r="C28" s="8">
        <f>IF(p_reset=1,0,0.25*(D28+B28+C27+C29+p_h^2*Omega!C28))</f>
        <v/>
      </c>
      <c r="D28" s="8">
        <f>IF(p_reset=1,0,0.25*(E28+C28+D27+D29+p_h^2*Omega!D28))</f>
        <v/>
      </c>
      <c r="E28" s="8">
        <f>IF(p_reset=1,0,0.25*(F28+D28+E27+E29+p_h^2*Omega!E28))</f>
        <v/>
      </c>
      <c r="F28" s="8">
        <f>IF(p_reset=1,0,0.25*(G28+E28+F27+F29+p_h^2*Omega!F28))</f>
        <v/>
      </c>
      <c r="G28" s="8">
        <f>IF(p_reset=1,0,0.25*(H28+F28+G27+G29+p_h^2*Omega!G28))</f>
        <v/>
      </c>
      <c r="H28" s="8">
        <f>IF(p_reset=1,0,0.25*(I28+G28+H27+H29+p_h^2*Omega!H28))</f>
        <v/>
      </c>
      <c r="I28" s="8">
        <f>IF(p_reset=1,0,0.25*(J28+H28+I27+I29+p_h^2*Omega!I28))</f>
        <v/>
      </c>
      <c r="J28" s="8">
        <f>IF(p_reset=1,0,0.25*(K28+I28+J27+J29+p_h^2*Omega!J28))</f>
        <v/>
      </c>
      <c r="K28" s="8">
        <f>IF(p_reset=1,0,0.25*(L28+J28+K27+K29+p_h^2*Omega!K28))</f>
        <v/>
      </c>
      <c r="L28" s="8">
        <f>IF(p_reset=1,0,0.25*(M28+K28+L27+L29+p_h^2*Omega!L28))</f>
        <v/>
      </c>
      <c r="M28" s="8">
        <f>IF(p_reset=1,0,0.25*(N28+L28+M27+M29+p_h^2*Omega!M28))</f>
        <v/>
      </c>
      <c r="N28" s="8">
        <f>IF(p_reset=1,0,0.25*(O28+M28+N27+N29+p_h^2*Omega!N28))</f>
        <v/>
      </c>
      <c r="O28" s="8">
        <f>IF(p_reset=1,0,0.25*(P28+N28+O27+O29+p_h^2*Omega!O28))</f>
        <v/>
      </c>
      <c r="P28" s="8">
        <f>IF(p_reset=1,0,0.25*(Q28+O28+P27+P29+p_h^2*Omega!P28))</f>
        <v/>
      </c>
      <c r="Q28" s="8">
        <f>IF(p_reset=1,0,0.25*(R28+P28+Q27+Q29+p_h^2*Omega!Q28))</f>
        <v/>
      </c>
      <c r="R28" s="8">
        <f>IF(p_reset=1,0,0.25*(S28+Q28+R27+R29+p_h^2*Omega!R28))</f>
        <v/>
      </c>
      <c r="S28" s="8">
        <f>IF(p_reset=1,0,0.25*(T28+R28+S27+S29+p_h^2*Omega!S28))</f>
        <v/>
      </c>
      <c r="T28" s="8">
        <f>IF(p_reset=1,0,0.25*(U28+S28+T27+T29+p_h^2*Omega!T28))</f>
        <v/>
      </c>
      <c r="U28" s="8">
        <f>IF(p_reset=1,0,0.25*(V28+T28+U27+U29+p_h^2*Omega!U28))</f>
        <v/>
      </c>
      <c r="V28" s="8">
        <f>IF(p_reset=1,0,0.25*(W28+U28+V27+V29+p_h^2*Omega!V28))</f>
        <v/>
      </c>
      <c r="W28" s="8">
        <f>IF(p_reset=1,0,0.25*(X28+V28+W27+W29+p_h^2*Omega!W28))</f>
        <v/>
      </c>
      <c r="X28" s="8">
        <f>IF(p_reset=1,0,0.25*(Y28+W28+X27+X29+p_h^2*Omega!X28))</f>
        <v/>
      </c>
      <c r="Y28" s="8">
        <f>IF(p_reset=1,0,0.25*(Z28+X28+Y27+Y29+p_h^2*Omega!Y28))</f>
        <v/>
      </c>
      <c r="Z28" s="8">
        <f>IF(p_reset=1,0,0.25*(AA28+Y28+Z27+Z29+p_h^2*Omega!Z28))</f>
        <v/>
      </c>
      <c r="AA28" s="8">
        <f>IF(p_reset=1,0,0.25*(AB28+Z28+AA27+AA29+p_h^2*Omega!AA28))</f>
        <v/>
      </c>
      <c r="AB28" s="8">
        <f>IF(p_reset=1,0,0.25*(AC28+AA28+AB27+AB29+p_h^2*Omega!AB28))</f>
        <v/>
      </c>
      <c r="AC28" s="8">
        <f>IF(p_reset=1,0,0.25*(AD28+AB28+AC27+AC29+p_h^2*Omega!AC28))</f>
        <v/>
      </c>
      <c r="AD28" s="8">
        <f>IF(p_reset=1,0,0.25*(AE28+AC28+AD27+AD29+p_h^2*Omega!AD28))</f>
        <v/>
      </c>
      <c r="AE28" s="8">
        <f>IF(p_reset=1,0,0.25*(AF28+AD28+AE27+AE29+p_h^2*Omega!AE28))</f>
        <v/>
      </c>
      <c r="AF28" s="8">
        <f>IF(p_reset=1,0,0.25*(AG28+AE28+AF27+AF29+p_h^2*Omega!AF28))</f>
        <v/>
      </c>
      <c r="AG28" s="8">
        <f>IF(p_reset=1,0,0.25*(AH28+AF28+AG27+AG29+p_h^2*Omega!AG28))</f>
        <v/>
      </c>
      <c r="AH28" s="8" t="n">
        <v>0</v>
      </c>
    </row>
    <row r="29">
      <c r="A29" s="7">
        <f>A28-p_h</f>
        <v/>
      </c>
      <c r="B29" s="8" t="n">
        <v>0</v>
      </c>
      <c r="C29" s="8">
        <f>IF(p_reset=1,0,0.25*(D29+B29+C28+C30+p_h^2*Omega!C29))</f>
        <v/>
      </c>
      <c r="D29" s="8">
        <f>IF(p_reset=1,0,0.25*(E29+C29+D28+D30+p_h^2*Omega!D29))</f>
        <v/>
      </c>
      <c r="E29" s="8">
        <f>IF(p_reset=1,0,0.25*(F29+D29+E28+E30+p_h^2*Omega!E29))</f>
        <v/>
      </c>
      <c r="F29" s="8">
        <f>IF(p_reset=1,0,0.25*(G29+E29+F28+F30+p_h^2*Omega!F29))</f>
        <v/>
      </c>
      <c r="G29" s="8">
        <f>IF(p_reset=1,0,0.25*(H29+F29+G28+G30+p_h^2*Omega!G29))</f>
        <v/>
      </c>
      <c r="H29" s="8">
        <f>IF(p_reset=1,0,0.25*(I29+G29+H28+H30+p_h^2*Omega!H29))</f>
        <v/>
      </c>
      <c r="I29" s="8">
        <f>IF(p_reset=1,0,0.25*(J29+H29+I28+I30+p_h^2*Omega!I29))</f>
        <v/>
      </c>
      <c r="J29" s="8">
        <f>IF(p_reset=1,0,0.25*(K29+I29+J28+J30+p_h^2*Omega!J29))</f>
        <v/>
      </c>
      <c r="K29" s="8">
        <f>IF(p_reset=1,0,0.25*(L29+J29+K28+K30+p_h^2*Omega!K29))</f>
        <v/>
      </c>
      <c r="L29" s="8">
        <f>IF(p_reset=1,0,0.25*(M29+K29+L28+L30+p_h^2*Omega!L29))</f>
        <v/>
      </c>
      <c r="M29" s="8">
        <f>IF(p_reset=1,0,0.25*(N29+L29+M28+M30+p_h^2*Omega!M29))</f>
        <v/>
      </c>
      <c r="N29" s="8">
        <f>IF(p_reset=1,0,0.25*(O29+M29+N28+N30+p_h^2*Omega!N29))</f>
        <v/>
      </c>
      <c r="O29" s="8">
        <f>IF(p_reset=1,0,0.25*(P29+N29+O28+O30+p_h^2*Omega!O29))</f>
        <v/>
      </c>
      <c r="P29" s="8">
        <f>IF(p_reset=1,0,0.25*(Q29+O29+P28+P30+p_h^2*Omega!P29))</f>
        <v/>
      </c>
      <c r="Q29" s="8">
        <f>IF(p_reset=1,0,0.25*(R29+P29+Q28+Q30+p_h^2*Omega!Q29))</f>
        <v/>
      </c>
      <c r="R29" s="8">
        <f>IF(p_reset=1,0,0.25*(S29+Q29+R28+R30+p_h^2*Omega!R29))</f>
        <v/>
      </c>
      <c r="S29" s="8">
        <f>IF(p_reset=1,0,0.25*(T29+R29+S28+S30+p_h^2*Omega!S29))</f>
        <v/>
      </c>
      <c r="T29" s="8">
        <f>IF(p_reset=1,0,0.25*(U29+S29+T28+T30+p_h^2*Omega!T29))</f>
        <v/>
      </c>
      <c r="U29" s="8">
        <f>IF(p_reset=1,0,0.25*(V29+T29+U28+U30+p_h^2*Omega!U29))</f>
        <v/>
      </c>
      <c r="V29" s="8">
        <f>IF(p_reset=1,0,0.25*(W29+U29+V28+V30+p_h^2*Omega!V29))</f>
        <v/>
      </c>
      <c r="W29" s="8">
        <f>IF(p_reset=1,0,0.25*(X29+V29+W28+W30+p_h^2*Omega!W29))</f>
        <v/>
      </c>
      <c r="X29" s="8">
        <f>IF(p_reset=1,0,0.25*(Y29+W29+X28+X30+p_h^2*Omega!X29))</f>
        <v/>
      </c>
      <c r="Y29" s="8">
        <f>IF(p_reset=1,0,0.25*(Z29+X29+Y28+Y30+p_h^2*Omega!Y29))</f>
        <v/>
      </c>
      <c r="Z29" s="8">
        <f>IF(p_reset=1,0,0.25*(AA29+Y29+Z28+Z30+p_h^2*Omega!Z29))</f>
        <v/>
      </c>
      <c r="AA29" s="8">
        <f>IF(p_reset=1,0,0.25*(AB29+Z29+AA28+AA30+p_h^2*Omega!AA29))</f>
        <v/>
      </c>
      <c r="AB29" s="8">
        <f>IF(p_reset=1,0,0.25*(AC29+AA29+AB28+AB30+p_h^2*Omega!AB29))</f>
        <v/>
      </c>
      <c r="AC29" s="8">
        <f>IF(p_reset=1,0,0.25*(AD29+AB29+AC28+AC30+p_h^2*Omega!AC29))</f>
        <v/>
      </c>
      <c r="AD29" s="8">
        <f>IF(p_reset=1,0,0.25*(AE29+AC29+AD28+AD30+p_h^2*Omega!AD29))</f>
        <v/>
      </c>
      <c r="AE29" s="8">
        <f>IF(p_reset=1,0,0.25*(AF29+AD29+AE28+AE30+p_h^2*Omega!AE29))</f>
        <v/>
      </c>
      <c r="AF29" s="8">
        <f>IF(p_reset=1,0,0.25*(AG29+AE29+AF28+AF30+p_h^2*Omega!AF29))</f>
        <v/>
      </c>
      <c r="AG29" s="8">
        <f>IF(p_reset=1,0,0.25*(AH29+AF29+AG28+AG30+p_h^2*Omega!AG29))</f>
        <v/>
      </c>
      <c r="AH29" s="8" t="n">
        <v>0</v>
      </c>
    </row>
    <row r="30">
      <c r="A30" s="7">
        <f>A29-p_h</f>
        <v/>
      </c>
      <c r="B30" s="8" t="n">
        <v>0</v>
      </c>
      <c r="C30" s="8">
        <f>IF(p_reset=1,0,0.25*(D30+B30+C29+C31+p_h^2*Omega!C30))</f>
        <v/>
      </c>
      <c r="D30" s="8">
        <f>IF(p_reset=1,0,0.25*(E30+C30+D29+D31+p_h^2*Omega!D30))</f>
        <v/>
      </c>
      <c r="E30" s="8">
        <f>IF(p_reset=1,0,0.25*(F30+D30+E29+E31+p_h^2*Omega!E30))</f>
        <v/>
      </c>
      <c r="F30" s="8">
        <f>IF(p_reset=1,0,0.25*(G30+E30+F29+F31+p_h^2*Omega!F30))</f>
        <v/>
      </c>
      <c r="G30" s="8">
        <f>IF(p_reset=1,0,0.25*(H30+F30+G29+G31+p_h^2*Omega!G30))</f>
        <v/>
      </c>
      <c r="H30" s="8">
        <f>IF(p_reset=1,0,0.25*(I30+G30+H29+H31+p_h^2*Omega!H30))</f>
        <v/>
      </c>
      <c r="I30" s="8">
        <f>IF(p_reset=1,0,0.25*(J30+H30+I29+I31+p_h^2*Omega!I30))</f>
        <v/>
      </c>
      <c r="J30" s="8">
        <f>IF(p_reset=1,0,0.25*(K30+I30+J29+J31+p_h^2*Omega!J30))</f>
        <v/>
      </c>
      <c r="K30" s="8">
        <f>IF(p_reset=1,0,0.25*(L30+J30+K29+K31+p_h^2*Omega!K30))</f>
        <v/>
      </c>
      <c r="L30" s="8">
        <f>IF(p_reset=1,0,0.25*(M30+K30+L29+L31+p_h^2*Omega!L30))</f>
        <v/>
      </c>
      <c r="M30" s="8">
        <f>IF(p_reset=1,0,0.25*(N30+L30+M29+M31+p_h^2*Omega!M30))</f>
        <v/>
      </c>
      <c r="N30" s="8">
        <f>IF(p_reset=1,0,0.25*(O30+M30+N29+N31+p_h^2*Omega!N30))</f>
        <v/>
      </c>
      <c r="O30" s="8">
        <f>IF(p_reset=1,0,0.25*(P30+N30+O29+O31+p_h^2*Omega!O30))</f>
        <v/>
      </c>
      <c r="P30" s="8">
        <f>IF(p_reset=1,0,0.25*(Q30+O30+P29+P31+p_h^2*Omega!P30))</f>
        <v/>
      </c>
      <c r="Q30" s="8">
        <f>IF(p_reset=1,0,0.25*(R30+P30+Q29+Q31+p_h^2*Omega!Q30))</f>
        <v/>
      </c>
      <c r="R30" s="8">
        <f>IF(p_reset=1,0,0.25*(S30+Q30+R29+R31+p_h^2*Omega!R30))</f>
        <v/>
      </c>
      <c r="S30" s="8">
        <f>IF(p_reset=1,0,0.25*(T30+R30+S29+S31+p_h^2*Omega!S30))</f>
        <v/>
      </c>
      <c r="T30" s="8">
        <f>IF(p_reset=1,0,0.25*(U30+S30+T29+T31+p_h^2*Omega!T30))</f>
        <v/>
      </c>
      <c r="U30" s="8">
        <f>IF(p_reset=1,0,0.25*(V30+T30+U29+U31+p_h^2*Omega!U30))</f>
        <v/>
      </c>
      <c r="V30" s="8">
        <f>IF(p_reset=1,0,0.25*(W30+U30+V29+V31+p_h^2*Omega!V30))</f>
        <v/>
      </c>
      <c r="W30" s="8">
        <f>IF(p_reset=1,0,0.25*(X30+V30+W29+W31+p_h^2*Omega!W30))</f>
        <v/>
      </c>
      <c r="X30" s="8">
        <f>IF(p_reset=1,0,0.25*(Y30+W30+X29+X31+p_h^2*Omega!X30))</f>
        <v/>
      </c>
      <c r="Y30" s="8">
        <f>IF(p_reset=1,0,0.25*(Z30+X30+Y29+Y31+p_h^2*Omega!Y30))</f>
        <v/>
      </c>
      <c r="Z30" s="8">
        <f>IF(p_reset=1,0,0.25*(AA30+Y30+Z29+Z31+p_h^2*Omega!Z30))</f>
        <v/>
      </c>
      <c r="AA30" s="8">
        <f>IF(p_reset=1,0,0.25*(AB30+Z30+AA29+AA31+p_h^2*Omega!AA30))</f>
        <v/>
      </c>
      <c r="AB30" s="8">
        <f>IF(p_reset=1,0,0.25*(AC30+AA30+AB29+AB31+p_h^2*Omega!AB30))</f>
        <v/>
      </c>
      <c r="AC30" s="8">
        <f>IF(p_reset=1,0,0.25*(AD30+AB30+AC29+AC31+p_h^2*Omega!AC30))</f>
        <v/>
      </c>
      <c r="AD30" s="8">
        <f>IF(p_reset=1,0,0.25*(AE30+AC30+AD29+AD31+p_h^2*Omega!AD30))</f>
        <v/>
      </c>
      <c r="AE30" s="8">
        <f>IF(p_reset=1,0,0.25*(AF30+AD30+AE29+AE31+p_h^2*Omega!AE30))</f>
        <v/>
      </c>
      <c r="AF30" s="8">
        <f>IF(p_reset=1,0,0.25*(AG30+AE30+AF29+AF31+p_h^2*Omega!AF30))</f>
        <v/>
      </c>
      <c r="AG30" s="8">
        <f>IF(p_reset=1,0,0.25*(AH30+AF30+AG29+AG31+p_h^2*Omega!AG30))</f>
        <v/>
      </c>
      <c r="AH30" s="8" t="n">
        <v>0</v>
      </c>
    </row>
    <row r="31">
      <c r="A31" s="7">
        <f>A30-p_h</f>
        <v/>
      </c>
      <c r="B31" s="8" t="n">
        <v>0</v>
      </c>
      <c r="C31" s="8">
        <f>IF(p_reset=1,0,0.25*(D31+B31+C30+C32+p_h^2*Omega!C31))</f>
        <v/>
      </c>
      <c r="D31" s="8">
        <f>IF(p_reset=1,0,0.25*(E31+C31+D30+D32+p_h^2*Omega!D31))</f>
        <v/>
      </c>
      <c r="E31" s="8">
        <f>IF(p_reset=1,0,0.25*(F31+D31+E30+E32+p_h^2*Omega!E31))</f>
        <v/>
      </c>
      <c r="F31" s="8">
        <f>IF(p_reset=1,0,0.25*(G31+E31+F30+F32+p_h^2*Omega!F31))</f>
        <v/>
      </c>
      <c r="G31" s="8">
        <f>IF(p_reset=1,0,0.25*(H31+F31+G30+G32+p_h^2*Omega!G31))</f>
        <v/>
      </c>
      <c r="H31" s="8">
        <f>IF(p_reset=1,0,0.25*(I31+G31+H30+H32+p_h^2*Omega!H31))</f>
        <v/>
      </c>
      <c r="I31" s="8">
        <f>IF(p_reset=1,0,0.25*(J31+H31+I30+I32+p_h^2*Omega!I31))</f>
        <v/>
      </c>
      <c r="J31" s="8">
        <f>IF(p_reset=1,0,0.25*(K31+I31+J30+J32+p_h^2*Omega!J31))</f>
        <v/>
      </c>
      <c r="K31" s="8">
        <f>IF(p_reset=1,0,0.25*(L31+J31+K30+K32+p_h^2*Omega!K31))</f>
        <v/>
      </c>
      <c r="L31" s="8">
        <f>IF(p_reset=1,0,0.25*(M31+K31+L30+L32+p_h^2*Omega!L31))</f>
        <v/>
      </c>
      <c r="M31" s="8">
        <f>IF(p_reset=1,0,0.25*(N31+L31+M30+M32+p_h^2*Omega!M31))</f>
        <v/>
      </c>
      <c r="N31" s="8">
        <f>IF(p_reset=1,0,0.25*(O31+M31+N30+N32+p_h^2*Omega!N31))</f>
        <v/>
      </c>
      <c r="O31" s="8">
        <f>IF(p_reset=1,0,0.25*(P31+N31+O30+O32+p_h^2*Omega!O31))</f>
        <v/>
      </c>
      <c r="P31" s="8">
        <f>IF(p_reset=1,0,0.25*(Q31+O31+P30+P32+p_h^2*Omega!P31))</f>
        <v/>
      </c>
      <c r="Q31" s="8">
        <f>IF(p_reset=1,0,0.25*(R31+P31+Q30+Q32+p_h^2*Omega!Q31))</f>
        <v/>
      </c>
      <c r="R31" s="8">
        <f>IF(p_reset=1,0,0.25*(S31+Q31+R30+R32+p_h^2*Omega!R31))</f>
        <v/>
      </c>
      <c r="S31" s="8">
        <f>IF(p_reset=1,0,0.25*(T31+R31+S30+S32+p_h^2*Omega!S31))</f>
        <v/>
      </c>
      <c r="T31" s="8">
        <f>IF(p_reset=1,0,0.25*(U31+S31+T30+T32+p_h^2*Omega!T31))</f>
        <v/>
      </c>
      <c r="U31" s="8">
        <f>IF(p_reset=1,0,0.25*(V31+T31+U30+U32+p_h^2*Omega!U31))</f>
        <v/>
      </c>
      <c r="V31" s="8">
        <f>IF(p_reset=1,0,0.25*(W31+U31+V30+V32+p_h^2*Omega!V31))</f>
        <v/>
      </c>
      <c r="W31" s="8">
        <f>IF(p_reset=1,0,0.25*(X31+V31+W30+W32+p_h^2*Omega!W31))</f>
        <v/>
      </c>
      <c r="X31" s="8">
        <f>IF(p_reset=1,0,0.25*(Y31+W31+X30+X32+p_h^2*Omega!X31))</f>
        <v/>
      </c>
      <c r="Y31" s="8">
        <f>IF(p_reset=1,0,0.25*(Z31+X31+Y30+Y32+p_h^2*Omega!Y31))</f>
        <v/>
      </c>
      <c r="Z31" s="8">
        <f>IF(p_reset=1,0,0.25*(AA31+Y31+Z30+Z32+p_h^2*Omega!Z31))</f>
        <v/>
      </c>
      <c r="AA31" s="8">
        <f>IF(p_reset=1,0,0.25*(AB31+Z31+AA30+AA32+p_h^2*Omega!AA31))</f>
        <v/>
      </c>
      <c r="AB31" s="8">
        <f>IF(p_reset=1,0,0.25*(AC31+AA31+AB30+AB32+p_h^2*Omega!AB31))</f>
        <v/>
      </c>
      <c r="AC31" s="8">
        <f>IF(p_reset=1,0,0.25*(AD31+AB31+AC30+AC32+p_h^2*Omega!AC31))</f>
        <v/>
      </c>
      <c r="AD31" s="8">
        <f>IF(p_reset=1,0,0.25*(AE31+AC31+AD30+AD32+p_h^2*Omega!AD31))</f>
        <v/>
      </c>
      <c r="AE31" s="8">
        <f>IF(p_reset=1,0,0.25*(AF31+AD31+AE30+AE32+p_h^2*Omega!AE31))</f>
        <v/>
      </c>
      <c r="AF31" s="8">
        <f>IF(p_reset=1,0,0.25*(AG31+AE31+AF30+AF32+p_h^2*Omega!AF31))</f>
        <v/>
      </c>
      <c r="AG31" s="8">
        <f>IF(p_reset=1,0,0.25*(AH31+AF31+AG30+AG32+p_h^2*Omega!AG31))</f>
        <v/>
      </c>
      <c r="AH31" s="8" t="n">
        <v>0</v>
      </c>
    </row>
    <row r="32">
      <c r="A32" s="7">
        <f>A31-p_h</f>
        <v/>
      </c>
      <c r="B32" s="8" t="n">
        <v>0</v>
      </c>
      <c r="C32" s="8">
        <f>IF(p_reset=1,0,0.25*(D32+B32+C31+C33+p_h^2*Omega!C32))</f>
        <v/>
      </c>
      <c r="D32" s="8">
        <f>IF(p_reset=1,0,0.25*(E32+C32+D31+D33+p_h^2*Omega!D32))</f>
        <v/>
      </c>
      <c r="E32" s="8">
        <f>IF(p_reset=1,0,0.25*(F32+D32+E31+E33+p_h^2*Omega!E32))</f>
        <v/>
      </c>
      <c r="F32" s="8">
        <f>IF(p_reset=1,0,0.25*(G32+E32+F31+F33+p_h^2*Omega!F32))</f>
        <v/>
      </c>
      <c r="G32" s="8">
        <f>IF(p_reset=1,0,0.25*(H32+F32+G31+G33+p_h^2*Omega!G32))</f>
        <v/>
      </c>
      <c r="H32" s="8">
        <f>IF(p_reset=1,0,0.25*(I32+G32+H31+H33+p_h^2*Omega!H32))</f>
        <v/>
      </c>
      <c r="I32" s="8">
        <f>IF(p_reset=1,0,0.25*(J32+H32+I31+I33+p_h^2*Omega!I32))</f>
        <v/>
      </c>
      <c r="J32" s="8">
        <f>IF(p_reset=1,0,0.25*(K32+I32+J31+J33+p_h^2*Omega!J32))</f>
        <v/>
      </c>
      <c r="K32" s="8">
        <f>IF(p_reset=1,0,0.25*(L32+J32+K31+K33+p_h^2*Omega!K32))</f>
        <v/>
      </c>
      <c r="L32" s="8">
        <f>IF(p_reset=1,0,0.25*(M32+K32+L31+L33+p_h^2*Omega!L32))</f>
        <v/>
      </c>
      <c r="M32" s="8">
        <f>IF(p_reset=1,0,0.25*(N32+L32+M31+M33+p_h^2*Omega!M32))</f>
        <v/>
      </c>
      <c r="N32" s="8">
        <f>IF(p_reset=1,0,0.25*(O32+M32+N31+N33+p_h^2*Omega!N32))</f>
        <v/>
      </c>
      <c r="O32" s="8">
        <f>IF(p_reset=1,0,0.25*(P32+N32+O31+O33+p_h^2*Omega!O32))</f>
        <v/>
      </c>
      <c r="P32" s="8">
        <f>IF(p_reset=1,0,0.25*(Q32+O32+P31+P33+p_h^2*Omega!P32))</f>
        <v/>
      </c>
      <c r="Q32" s="8">
        <f>IF(p_reset=1,0,0.25*(R32+P32+Q31+Q33+p_h^2*Omega!Q32))</f>
        <v/>
      </c>
      <c r="R32" s="8">
        <f>IF(p_reset=1,0,0.25*(S32+Q32+R31+R33+p_h^2*Omega!R32))</f>
        <v/>
      </c>
      <c r="S32" s="8">
        <f>IF(p_reset=1,0,0.25*(T32+R32+S31+S33+p_h^2*Omega!S32))</f>
        <v/>
      </c>
      <c r="T32" s="8">
        <f>IF(p_reset=1,0,0.25*(U32+S32+T31+T33+p_h^2*Omega!T32))</f>
        <v/>
      </c>
      <c r="U32" s="8">
        <f>IF(p_reset=1,0,0.25*(V32+T32+U31+U33+p_h^2*Omega!U32))</f>
        <v/>
      </c>
      <c r="V32" s="8">
        <f>IF(p_reset=1,0,0.25*(W32+U32+V31+V33+p_h^2*Omega!V32))</f>
        <v/>
      </c>
      <c r="W32" s="8">
        <f>IF(p_reset=1,0,0.25*(X32+V32+W31+W33+p_h^2*Omega!W32))</f>
        <v/>
      </c>
      <c r="X32" s="8">
        <f>IF(p_reset=1,0,0.25*(Y32+W32+X31+X33+p_h^2*Omega!X32))</f>
        <v/>
      </c>
      <c r="Y32" s="8">
        <f>IF(p_reset=1,0,0.25*(Z32+X32+Y31+Y33+p_h^2*Omega!Y32))</f>
        <v/>
      </c>
      <c r="Z32" s="8">
        <f>IF(p_reset=1,0,0.25*(AA32+Y32+Z31+Z33+p_h^2*Omega!Z32))</f>
        <v/>
      </c>
      <c r="AA32" s="8">
        <f>IF(p_reset=1,0,0.25*(AB32+Z32+AA31+AA33+p_h^2*Omega!AA32))</f>
        <v/>
      </c>
      <c r="AB32" s="8">
        <f>IF(p_reset=1,0,0.25*(AC32+AA32+AB31+AB33+p_h^2*Omega!AB32))</f>
        <v/>
      </c>
      <c r="AC32" s="8">
        <f>IF(p_reset=1,0,0.25*(AD32+AB32+AC31+AC33+p_h^2*Omega!AC32))</f>
        <v/>
      </c>
      <c r="AD32" s="8">
        <f>IF(p_reset=1,0,0.25*(AE32+AC32+AD31+AD33+p_h^2*Omega!AD32))</f>
        <v/>
      </c>
      <c r="AE32" s="8">
        <f>IF(p_reset=1,0,0.25*(AF32+AD32+AE31+AE33+p_h^2*Omega!AE32))</f>
        <v/>
      </c>
      <c r="AF32" s="8">
        <f>IF(p_reset=1,0,0.25*(AG32+AE32+AF31+AF33+p_h^2*Omega!AF32))</f>
        <v/>
      </c>
      <c r="AG32" s="8">
        <f>IF(p_reset=1,0,0.25*(AH32+AF32+AG31+AG33+p_h^2*Omega!AG32))</f>
        <v/>
      </c>
      <c r="AH32" s="8" t="n">
        <v>0</v>
      </c>
    </row>
    <row r="33">
      <c r="A33" s="7">
        <f>A32-p_h</f>
        <v/>
      </c>
      <c r="B33" s="8" t="n">
        <v>0</v>
      </c>
      <c r="C33" s="8">
        <f>IF(p_reset=1,0,0.25*(D33+B33+C32+C34+p_h^2*Omega!C33))</f>
        <v/>
      </c>
      <c r="D33" s="8">
        <f>IF(p_reset=1,0,0.25*(E33+C33+D32+D34+p_h^2*Omega!D33))</f>
        <v/>
      </c>
      <c r="E33" s="8">
        <f>IF(p_reset=1,0,0.25*(F33+D33+E32+E34+p_h^2*Omega!E33))</f>
        <v/>
      </c>
      <c r="F33" s="8">
        <f>IF(p_reset=1,0,0.25*(G33+E33+F32+F34+p_h^2*Omega!F33))</f>
        <v/>
      </c>
      <c r="G33" s="8">
        <f>IF(p_reset=1,0,0.25*(H33+F33+G32+G34+p_h^2*Omega!G33))</f>
        <v/>
      </c>
      <c r="H33" s="8">
        <f>IF(p_reset=1,0,0.25*(I33+G33+H32+H34+p_h^2*Omega!H33))</f>
        <v/>
      </c>
      <c r="I33" s="8">
        <f>IF(p_reset=1,0,0.25*(J33+H33+I32+I34+p_h^2*Omega!I33))</f>
        <v/>
      </c>
      <c r="J33" s="8">
        <f>IF(p_reset=1,0,0.25*(K33+I33+J32+J34+p_h^2*Omega!J33))</f>
        <v/>
      </c>
      <c r="K33" s="8">
        <f>IF(p_reset=1,0,0.25*(L33+J33+K32+K34+p_h^2*Omega!K33))</f>
        <v/>
      </c>
      <c r="L33" s="8">
        <f>IF(p_reset=1,0,0.25*(M33+K33+L32+L34+p_h^2*Omega!L33))</f>
        <v/>
      </c>
      <c r="M33" s="8">
        <f>IF(p_reset=1,0,0.25*(N33+L33+M32+M34+p_h^2*Omega!M33))</f>
        <v/>
      </c>
      <c r="N33" s="8">
        <f>IF(p_reset=1,0,0.25*(O33+M33+N32+N34+p_h^2*Omega!N33))</f>
        <v/>
      </c>
      <c r="O33" s="8">
        <f>IF(p_reset=1,0,0.25*(P33+N33+O32+O34+p_h^2*Omega!O33))</f>
        <v/>
      </c>
      <c r="P33" s="8">
        <f>IF(p_reset=1,0,0.25*(Q33+O33+P32+P34+p_h^2*Omega!P33))</f>
        <v/>
      </c>
      <c r="Q33" s="8">
        <f>IF(p_reset=1,0,0.25*(R33+P33+Q32+Q34+p_h^2*Omega!Q33))</f>
        <v/>
      </c>
      <c r="R33" s="8">
        <f>IF(p_reset=1,0,0.25*(S33+Q33+R32+R34+p_h^2*Omega!R33))</f>
        <v/>
      </c>
      <c r="S33" s="8">
        <f>IF(p_reset=1,0,0.25*(T33+R33+S32+S34+p_h^2*Omega!S33))</f>
        <v/>
      </c>
      <c r="T33" s="8">
        <f>IF(p_reset=1,0,0.25*(U33+S33+T32+T34+p_h^2*Omega!T33))</f>
        <v/>
      </c>
      <c r="U33" s="8">
        <f>IF(p_reset=1,0,0.25*(V33+T33+U32+U34+p_h^2*Omega!U33))</f>
        <v/>
      </c>
      <c r="V33" s="8">
        <f>IF(p_reset=1,0,0.25*(W33+U33+V32+V34+p_h^2*Omega!V33))</f>
        <v/>
      </c>
      <c r="W33" s="8">
        <f>IF(p_reset=1,0,0.25*(X33+V33+W32+W34+p_h^2*Omega!W33))</f>
        <v/>
      </c>
      <c r="X33" s="8">
        <f>IF(p_reset=1,0,0.25*(Y33+W33+X32+X34+p_h^2*Omega!X33))</f>
        <v/>
      </c>
      <c r="Y33" s="8">
        <f>IF(p_reset=1,0,0.25*(Z33+X33+Y32+Y34+p_h^2*Omega!Y33))</f>
        <v/>
      </c>
      <c r="Z33" s="8">
        <f>IF(p_reset=1,0,0.25*(AA33+Y33+Z32+Z34+p_h^2*Omega!Z33))</f>
        <v/>
      </c>
      <c r="AA33" s="8">
        <f>IF(p_reset=1,0,0.25*(AB33+Z33+AA32+AA34+p_h^2*Omega!AA33))</f>
        <v/>
      </c>
      <c r="AB33" s="8">
        <f>IF(p_reset=1,0,0.25*(AC33+AA33+AB32+AB34+p_h^2*Omega!AB33))</f>
        <v/>
      </c>
      <c r="AC33" s="8">
        <f>IF(p_reset=1,0,0.25*(AD33+AB33+AC32+AC34+p_h^2*Omega!AC33))</f>
        <v/>
      </c>
      <c r="AD33" s="8">
        <f>IF(p_reset=1,0,0.25*(AE33+AC33+AD32+AD34+p_h^2*Omega!AD33))</f>
        <v/>
      </c>
      <c r="AE33" s="8">
        <f>IF(p_reset=1,0,0.25*(AF33+AD33+AE32+AE34+p_h^2*Omega!AE33))</f>
        <v/>
      </c>
      <c r="AF33" s="8">
        <f>IF(p_reset=1,0,0.25*(AG33+AE33+AF32+AF34+p_h^2*Omega!AF33))</f>
        <v/>
      </c>
      <c r="AG33" s="8">
        <f>IF(p_reset=1,0,0.25*(AH33+AF33+AG32+AG34+p_h^2*Omega!AG33))</f>
        <v/>
      </c>
      <c r="AH33" s="8" t="n">
        <v>0</v>
      </c>
    </row>
    <row r="34">
      <c r="A34" s="7">
        <f>A33-p_h</f>
        <v/>
      </c>
      <c r="B34" s="8" t="n">
        <v>0</v>
      </c>
      <c r="C34" s="8">
        <f>IF(p_reset=1,0,0.25*(D34+B34+C33+C35+p_h^2*Omega!C34))</f>
        <v/>
      </c>
      <c r="D34" s="8">
        <f>IF(p_reset=1,0,0.25*(E34+C34+D33+D35+p_h^2*Omega!D34))</f>
        <v/>
      </c>
      <c r="E34" s="8">
        <f>IF(p_reset=1,0,0.25*(F34+D34+E33+E35+p_h^2*Omega!E34))</f>
        <v/>
      </c>
      <c r="F34" s="8">
        <f>IF(p_reset=1,0,0.25*(G34+E34+F33+F35+p_h^2*Omega!F34))</f>
        <v/>
      </c>
      <c r="G34" s="8">
        <f>IF(p_reset=1,0,0.25*(H34+F34+G33+G35+p_h^2*Omega!G34))</f>
        <v/>
      </c>
      <c r="H34" s="8">
        <f>IF(p_reset=1,0,0.25*(I34+G34+H33+H35+p_h^2*Omega!H34))</f>
        <v/>
      </c>
      <c r="I34" s="8">
        <f>IF(p_reset=1,0,0.25*(J34+H34+I33+I35+p_h^2*Omega!I34))</f>
        <v/>
      </c>
      <c r="J34" s="8">
        <f>IF(p_reset=1,0,0.25*(K34+I34+J33+J35+p_h^2*Omega!J34))</f>
        <v/>
      </c>
      <c r="K34" s="8">
        <f>IF(p_reset=1,0,0.25*(L34+J34+K33+K35+p_h^2*Omega!K34))</f>
        <v/>
      </c>
      <c r="L34" s="8">
        <f>IF(p_reset=1,0,0.25*(M34+K34+L33+L35+p_h^2*Omega!L34))</f>
        <v/>
      </c>
      <c r="M34" s="8">
        <f>IF(p_reset=1,0,0.25*(N34+L34+M33+M35+p_h^2*Omega!M34))</f>
        <v/>
      </c>
      <c r="N34" s="8">
        <f>IF(p_reset=1,0,0.25*(O34+M34+N33+N35+p_h^2*Omega!N34))</f>
        <v/>
      </c>
      <c r="O34" s="8">
        <f>IF(p_reset=1,0,0.25*(P34+N34+O33+O35+p_h^2*Omega!O34))</f>
        <v/>
      </c>
      <c r="P34" s="8">
        <f>IF(p_reset=1,0,0.25*(Q34+O34+P33+P35+p_h^2*Omega!P34))</f>
        <v/>
      </c>
      <c r="Q34" s="8">
        <f>IF(p_reset=1,0,0.25*(R34+P34+Q33+Q35+p_h^2*Omega!Q34))</f>
        <v/>
      </c>
      <c r="R34" s="8">
        <f>IF(p_reset=1,0,0.25*(S34+Q34+R33+R35+p_h^2*Omega!R34))</f>
        <v/>
      </c>
      <c r="S34" s="8">
        <f>IF(p_reset=1,0,0.25*(T34+R34+S33+S35+p_h^2*Omega!S34))</f>
        <v/>
      </c>
      <c r="T34" s="8">
        <f>IF(p_reset=1,0,0.25*(U34+S34+T33+T35+p_h^2*Omega!T34))</f>
        <v/>
      </c>
      <c r="U34" s="8">
        <f>IF(p_reset=1,0,0.25*(V34+T34+U33+U35+p_h^2*Omega!U34))</f>
        <v/>
      </c>
      <c r="V34" s="8">
        <f>IF(p_reset=1,0,0.25*(W34+U34+V33+V35+p_h^2*Omega!V34))</f>
        <v/>
      </c>
      <c r="W34" s="8">
        <f>IF(p_reset=1,0,0.25*(X34+V34+W33+W35+p_h^2*Omega!W34))</f>
        <v/>
      </c>
      <c r="X34" s="8">
        <f>IF(p_reset=1,0,0.25*(Y34+W34+X33+X35+p_h^2*Omega!X34))</f>
        <v/>
      </c>
      <c r="Y34" s="8">
        <f>IF(p_reset=1,0,0.25*(Z34+X34+Y33+Y35+p_h^2*Omega!Y34))</f>
        <v/>
      </c>
      <c r="Z34" s="8">
        <f>IF(p_reset=1,0,0.25*(AA34+Y34+Z33+Z35+p_h^2*Omega!Z34))</f>
        <v/>
      </c>
      <c r="AA34" s="8">
        <f>IF(p_reset=1,0,0.25*(AB34+Z34+AA33+AA35+p_h^2*Omega!AA34))</f>
        <v/>
      </c>
      <c r="AB34" s="8">
        <f>IF(p_reset=1,0,0.25*(AC34+AA34+AB33+AB35+p_h^2*Omega!AB34))</f>
        <v/>
      </c>
      <c r="AC34" s="8">
        <f>IF(p_reset=1,0,0.25*(AD34+AB34+AC33+AC35+p_h^2*Omega!AC34))</f>
        <v/>
      </c>
      <c r="AD34" s="8">
        <f>IF(p_reset=1,0,0.25*(AE34+AC34+AD33+AD35+p_h^2*Omega!AD34))</f>
        <v/>
      </c>
      <c r="AE34" s="8">
        <f>IF(p_reset=1,0,0.25*(AF34+AD34+AE33+AE35+p_h^2*Omega!AE34))</f>
        <v/>
      </c>
      <c r="AF34" s="8">
        <f>IF(p_reset=1,0,0.25*(AG34+AE34+AF33+AF35+p_h^2*Omega!AF34))</f>
        <v/>
      </c>
      <c r="AG34" s="8">
        <f>IF(p_reset=1,0,0.25*(AH34+AF34+AG33+AG35+p_h^2*Omega!AG34))</f>
        <v/>
      </c>
      <c r="AH34" s="8" t="n">
        <v>0</v>
      </c>
    </row>
    <row r="35">
      <c r="A35" s="7">
        <f>A34-p_h</f>
        <v/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</row>
  </sheetData>
  <conditionalFormatting sqref="B3:AH35">
    <cfRule type="expression" priority="1" dxfId="0">
      <formula>MOD(B3/p_dpsi,1)&lt;0.12</formula>
    </cfRule>
    <cfRule type="colorScale" priority="2">
      <colorScale>
        <cfvo type="min"/>
        <cfvo type="num" val="0"/>
        <cfvo type="max"/>
        <color rgb="002C7BB6"/>
        <color rgb="00FFFFFF"/>
        <color rgb="00D7191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90" customWidth="1" min="3" max="3"/>
  </cols>
  <sheetData>
    <row r="1">
      <c r="A1" s="1" t="inlineStr">
        <is>
          <t>2D lid-driven cavity  -  inputs &amp; monitors</t>
        </is>
      </c>
    </row>
    <row r="2">
      <c r="A2" s="9" t="inlineStr">
        <is>
          <t>Blue on yellow = you may edit.  Black = calculated by the workbook.</t>
        </is>
      </c>
    </row>
    <row r="4">
      <c r="A4" s="10" t="inlineStr">
        <is>
          <t>RUN CONTROL</t>
        </is>
      </c>
      <c r="B4" s="11" t="n"/>
      <c r="C4" s="11" t="n"/>
    </row>
    <row r="5">
      <c r="A5" s="12" t="inlineStr">
        <is>
          <t>Reset (1 = initialise, 0 = run)</t>
        </is>
      </c>
      <c r="B5" s="13" t="n">
        <v>0</v>
      </c>
      <c r="C5" s="14" t="inlineStr">
        <is>
          <t>Set to 1 for fluid at rest, then back to 0 to run.</t>
        </is>
      </c>
    </row>
    <row r="6">
      <c r="A6" s="10" t="inlineStr">
        <is>
          <t>FLOW</t>
        </is>
      </c>
      <c r="B6" s="11" t="n"/>
      <c r="C6" s="11" t="n"/>
    </row>
    <row r="7">
      <c r="A7" s="12" t="inlineStr">
        <is>
          <t>Lid speed U [m/s]</t>
        </is>
      </c>
      <c r="B7" s="13" t="n">
        <v>1</v>
      </c>
      <c r="C7" s="14" t="inlineStr">
        <is>
          <t>Top wall moves in +x; cavity is 1 m x 1 m</t>
        </is>
      </c>
    </row>
    <row r="8">
      <c r="A8" s="12" t="inlineStr">
        <is>
          <t>Reynolds number Re = U*L/nu</t>
        </is>
      </c>
      <c r="B8" s="13" t="n">
        <v>100</v>
      </c>
      <c r="C8" s="14" t="inlineStr">
        <is>
          <t>Re &lt;= ~400 is reliable on this grid. Ghia benchmark validation applies at Re = 100</t>
        </is>
      </c>
    </row>
    <row r="9">
      <c r="A9" s="12" t="inlineStr">
        <is>
          <t>Kinematic viscosity nu [m^2/s]</t>
        </is>
      </c>
      <c r="B9" s="12">
        <f>p_U*1/p_Re</f>
        <v/>
      </c>
      <c r="C9" s="14" t="inlineStr">
        <is>
          <t>calculated</t>
        </is>
      </c>
    </row>
    <row r="10">
      <c r="A10" s="10" t="inlineStr">
        <is>
          <t>NUMERICS</t>
        </is>
      </c>
      <c r="B10" s="11" t="n"/>
      <c r="C10" s="11" t="n"/>
    </row>
    <row r="11">
      <c r="A11" s="12" t="inlineStr">
        <is>
          <t>Time step dt [s]</t>
        </is>
      </c>
      <c r="B11" s="13" t="n">
        <v>0.01</v>
      </c>
      <c r="C11" s="14" t="inlineStr">
        <is>
          <t>Must satisfy all three limits below</t>
        </is>
      </c>
    </row>
    <row r="12">
      <c r="A12" s="12" t="inlineStr">
        <is>
          <t>Upwind blend theta (0 = central, 1 = upwind)</t>
        </is>
      </c>
      <c r="B12" s="13" t="n">
        <v>0</v>
      </c>
      <c r="C12" s="14" t="inlineStr">
        <is>
          <t>Central is more accurate; raise towards 1 if you push Re high and see wiggles</t>
        </is>
      </c>
    </row>
    <row r="13">
      <c r="A13" s="12" t="inlineStr">
        <is>
          <t>Streamline spacing d(psi)</t>
        </is>
      </c>
      <c r="B13" s="13" t="n">
        <v>0.01</v>
      </c>
      <c r="C13" s="14" t="inlineStr">
        <is>
          <t>Dark bands on the Psi sheet are streamlines</t>
        </is>
      </c>
    </row>
    <row r="14">
      <c r="A14" s="12" t="inlineStr">
        <is>
          <t>Grid nodes per side N</t>
        </is>
      </c>
      <c r="B14" s="12" t="n">
        <v>33</v>
      </c>
      <c r="C14" s="14" t="inlineStr">
        <is>
          <t>Fixed by layout; re-run generate_workbooks.py for another N</t>
        </is>
      </c>
    </row>
    <row r="15">
      <c r="A15" s="12" t="inlineStr">
        <is>
          <t>Grid spacing h [m]</t>
        </is>
      </c>
      <c r="B15" s="12">
        <f>1/(p_N-1)</f>
        <v/>
      </c>
      <c r="C15" s="14" t="inlineStr"/>
    </row>
    <row r="16">
      <c r="A16" s="12" t="inlineStr">
        <is>
          <t>Limit: diffusion  h^2/(4 nu)</t>
        </is>
      </c>
      <c r="B16" s="12">
        <f>p_h^2/(4*p_nu)</f>
        <v/>
      </c>
      <c r="C16" s="14" t="inlineStr">
        <is>
          <t>dt must be below this</t>
        </is>
      </c>
    </row>
    <row r="17">
      <c r="A17" s="12" t="inlineStr">
        <is>
          <t>Limit: viscous-lid  4 nu / U^2</t>
        </is>
      </c>
      <c r="B17" s="12">
        <f>4*p_nu/p_U^2</f>
        <v/>
      </c>
      <c r="C17" s="14" t="inlineStr">
        <is>
          <t>dt must be below this</t>
        </is>
      </c>
    </row>
    <row r="18">
      <c r="A18" s="12" t="inlineStr">
        <is>
          <t>Limit: CFL  h / U</t>
        </is>
      </c>
      <c r="B18" s="12">
        <f>p_h/p_U</f>
        <v/>
      </c>
      <c r="C18" s="14" t="inlineStr">
        <is>
          <t>dt must be below this</t>
        </is>
      </c>
    </row>
    <row r="19">
      <c r="A19" s="12" t="inlineStr">
        <is>
          <t>Stability check</t>
        </is>
      </c>
      <c r="B19" s="12">
        <f>IF(AND(p_dt&lt;=p_limD,p_dt&lt;=p_limV,p_dt&lt;=p_limC),"STABLE","UNSTABLE - reduce dt")</f>
        <v/>
      </c>
      <c r="C19" s="14" t="inlineStr"/>
    </row>
    <row r="20">
      <c r="A20" s="10" t="inlineStr">
        <is>
          <t>MONITORS</t>
        </is>
      </c>
      <c r="B20" s="11" t="n"/>
      <c r="C20" s="11" t="n"/>
    </row>
    <row r="21">
      <c r="A21" s="12" t="inlineStr">
        <is>
          <t>Kinetic energy (integral of |V|^2/2)</t>
        </is>
      </c>
      <c r="B21" s="12">
        <f>0.5*p_h^2*(SUMSQ(u_vel!B3:AH35)+SUMSQ(v_vel!B3:AH35))</f>
        <v/>
      </c>
      <c r="C21" s="14" t="inlineStr">
        <is>
          <t>Plateaus at steady state (~0.042 for Re = 100 on the default 33x33 grid)</t>
        </is>
      </c>
    </row>
    <row r="22">
      <c r="A22" s="12" t="inlineStr">
        <is>
          <t>Primary vortex strength  min(psi)</t>
        </is>
      </c>
      <c r="B22" s="12">
        <f>MIN(Psi!B3:AH35)</f>
        <v/>
      </c>
      <c r="C22" s="14" t="inlineStr">
        <is>
          <t>Ghia et al. Re = 100: -0.1034</t>
        </is>
      </c>
    </row>
    <row r="23">
      <c r="A23" s="12" t="inlineStr">
        <is>
          <t>Max |omega| (excluding walls)</t>
        </is>
      </c>
      <c r="B23" s="12">
        <f>MAX(MAX(Omega!C4:AG34),-MIN(Omega!C4:AG34))</f>
        <v/>
      </c>
      <c r="C23" s="14" t="inlineStr"/>
    </row>
    <row r="24">
      <c r="A24" s="12" t="inlineStr">
        <is>
          <t>RMS error vs Ghia (Re = 100)</t>
        </is>
      </c>
      <c r="B24" s="12">
        <f>Validation!K3</f>
        <v/>
      </c>
      <c r="C24" s="14" t="inlineStr">
        <is>
          <t>Only meaningful at Re = 100 and steady 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</cols>
  <sheetData>
    <row r="1">
      <c r="A1" s="4" t="inlineStr">
        <is>
          <t>Vorticity omega   (transport equation, explicit in time)</t>
        </is>
      </c>
    </row>
    <row r="2">
      <c r="A2" s="5" t="inlineStr">
        <is>
          <t>y \ x</t>
        </is>
      </c>
      <c r="B2" s="6" t="n">
        <v>0</v>
      </c>
      <c r="C2" s="6">
        <f>B2+p_h</f>
        <v/>
      </c>
      <c r="D2" s="6">
        <f>C2+p_h</f>
        <v/>
      </c>
      <c r="E2" s="6">
        <f>D2+p_h</f>
        <v/>
      </c>
      <c r="F2" s="6">
        <f>E2+p_h</f>
        <v/>
      </c>
      <c r="G2" s="6">
        <f>F2+p_h</f>
        <v/>
      </c>
      <c r="H2" s="6">
        <f>G2+p_h</f>
        <v/>
      </c>
      <c r="I2" s="6">
        <f>H2+p_h</f>
        <v/>
      </c>
      <c r="J2" s="6">
        <f>I2+p_h</f>
        <v/>
      </c>
      <c r="K2" s="6">
        <f>J2+p_h</f>
        <v/>
      </c>
      <c r="L2" s="6">
        <f>K2+p_h</f>
        <v/>
      </c>
      <c r="M2" s="6">
        <f>L2+p_h</f>
        <v/>
      </c>
      <c r="N2" s="6">
        <f>M2+p_h</f>
        <v/>
      </c>
      <c r="O2" s="6">
        <f>N2+p_h</f>
        <v/>
      </c>
      <c r="P2" s="6">
        <f>O2+p_h</f>
        <v/>
      </c>
      <c r="Q2" s="6">
        <f>P2+p_h</f>
        <v/>
      </c>
      <c r="R2" s="6">
        <f>Q2+p_h</f>
        <v/>
      </c>
      <c r="S2" s="6">
        <f>R2+p_h</f>
        <v/>
      </c>
      <c r="T2" s="6">
        <f>S2+p_h</f>
        <v/>
      </c>
      <c r="U2" s="6">
        <f>T2+p_h</f>
        <v/>
      </c>
      <c r="V2" s="6">
        <f>U2+p_h</f>
        <v/>
      </c>
      <c r="W2" s="6">
        <f>V2+p_h</f>
        <v/>
      </c>
      <c r="X2" s="6">
        <f>W2+p_h</f>
        <v/>
      </c>
      <c r="Y2" s="6">
        <f>X2+p_h</f>
        <v/>
      </c>
      <c r="Z2" s="6">
        <f>Y2+p_h</f>
        <v/>
      </c>
      <c r="AA2" s="6">
        <f>Z2+p_h</f>
        <v/>
      </c>
      <c r="AB2" s="6">
        <f>AA2+p_h</f>
        <v/>
      </c>
      <c r="AC2" s="6">
        <f>AB2+p_h</f>
        <v/>
      </c>
      <c r="AD2" s="6">
        <f>AC2+p_h</f>
        <v/>
      </c>
      <c r="AE2" s="6">
        <f>AD2+p_h</f>
        <v/>
      </c>
      <c r="AF2" s="6">
        <f>AE2+p_h</f>
        <v/>
      </c>
      <c r="AG2" s="6">
        <f>AF2+p_h</f>
        <v/>
      </c>
      <c r="AH2" s="6">
        <f>AG2+p_h</f>
        <v/>
      </c>
    </row>
    <row r="3">
      <c r="A3" s="7">
        <f>32*p_h</f>
        <v/>
      </c>
      <c r="B3" s="15" t="n">
        <v>0</v>
      </c>
      <c r="C3" s="15">
        <f>-2*Psi!C4/p_h^2-2*p_U/p_h</f>
        <v/>
      </c>
      <c r="D3" s="15">
        <f>-2*Psi!D4/p_h^2-2*p_U/p_h</f>
        <v/>
      </c>
      <c r="E3" s="15">
        <f>-2*Psi!E4/p_h^2-2*p_U/p_h</f>
        <v/>
      </c>
      <c r="F3" s="15">
        <f>-2*Psi!F4/p_h^2-2*p_U/p_h</f>
        <v/>
      </c>
      <c r="G3" s="15">
        <f>-2*Psi!G4/p_h^2-2*p_U/p_h</f>
        <v/>
      </c>
      <c r="H3" s="15">
        <f>-2*Psi!H4/p_h^2-2*p_U/p_h</f>
        <v/>
      </c>
      <c r="I3" s="15">
        <f>-2*Psi!I4/p_h^2-2*p_U/p_h</f>
        <v/>
      </c>
      <c r="J3" s="15">
        <f>-2*Psi!J4/p_h^2-2*p_U/p_h</f>
        <v/>
      </c>
      <c r="K3" s="15">
        <f>-2*Psi!K4/p_h^2-2*p_U/p_h</f>
        <v/>
      </c>
      <c r="L3" s="15">
        <f>-2*Psi!L4/p_h^2-2*p_U/p_h</f>
        <v/>
      </c>
      <c r="M3" s="15">
        <f>-2*Psi!M4/p_h^2-2*p_U/p_h</f>
        <v/>
      </c>
      <c r="N3" s="15">
        <f>-2*Psi!N4/p_h^2-2*p_U/p_h</f>
        <v/>
      </c>
      <c r="O3" s="15">
        <f>-2*Psi!O4/p_h^2-2*p_U/p_h</f>
        <v/>
      </c>
      <c r="P3" s="15">
        <f>-2*Psi!P4/p_h^2-2*p_U/p_h</f>
        <v/>
      </c>
      <c r="Q3" s="15">
        <f>-2*Psi!Q4/p_h^2-2*p_U/p_h</f>
        <v/>
      </c>
      <c r="R3" s="15">
        <f>-2*Psi!R4/p_h^2-2*p_U/p_h</f>
        <v/>
      </c>
      <c r="S3" s="15">
        <f>-2*Psi!S4/p_h^2-2*p_U/p_h</f>
        <v/>
      </c>
      <c r="T3" s="15">
        <f>-2*Psi!T4/p_h^2-2*p_U/p_h</f>
        <v/>
      </c>
      <c r="U3" s="15">
        <f>-2*Psi!U4/p_h^2-2*p_U/p_h</f>
        <v/>
      </c>
      <c r="V3" s="15">
        <f>-2*Psi!V4/p_h^2-2*p_U/p_h</f>
        <v/>
      </c>
      <c r="W3" s="15">
        <f>-2*Psi!W4/p_h^2-2*p_U/p_h</f>
        <v/>
      </c>
      <c r="X3" s="15">
        <f>-2*Psi!X4/p_h^2-2*p_U/p_h</f>
        <v/>
      </c>
      <c r="Y3" s="15">
        <f>-2*Psi!Y4/p_h^2-2*p_U/p_h</f>
        <v/>
      </c>
      <c r="Z3" s="15">
        <f>-2*Psi!Z4/p_h^2-2*p_U/p_h</f>
        <v/>
      </c>
      <c r="AA3" s="15">
        <f>-2*Psi!AA4/p_h^2-2*p_U/p_h</f>
        <v/>
      </c>
      <c r="AB3" s="15">
        <f>-2*Psi!AB4/p_h^2-2*p_U/p_h</f>
        <v/>
      </c>
      <c r="AC3" s="15">
        <f>-2*Psi!AC4/p_h^2-2*p_U/p_h</f>
        <v/>
      </c>
      <c r="AD3" s="15">
        <f>-2*Psi!AD4/p_h^2-2*p_U/p_h</f>
        <v/>
      </c>
      <c r="AE3" s="15">
        <f>-2*Psi!AE4/p_h^2-2*p_U/p_h</f>
        <v/>
      </c>
      <c r="AF3" s="15">
        <f>-2*Psi!AF4/p_h^2-2*p_U/p_h</f>
        <v/>
      </c>
      <c r="AG3" s="15">
        <f>-2*Psi!AG4/p_h^2-2*p_U/p_h</f>
        <v/>
      </c>
      <c r="AH3" s="15" t="n">
        <v>0</v>
      </c>
    </row>
    <row r="4">
      <c r="A4" s="7">
        <f>A3-p_h</f>
        <v/>
      </c>
      <c r="B4" s="15">
        <f>-2*Psi!C4/p_h^2</f>
        <v/>
      </c>
      <c r="C4" s="15">
        <f>IF(p_reset=1,0,C4+p_dt*(-u_vel!C4*((1-p_theta)*(D4-B4)/(2*p_h)+p_theta*IF(u_vel!C4&gt;0,(C4-B4),(D4-C4))/p_h)-v_vel!C4*((1-p_theta)*(C3-C5)/(2*p_h)+p_theta*IF(v_vel!C4&gt;0,(C4-C5),(C3-C4))/p_h)+p_nu*(D4+B4+C3+C5-4*C4)/p_h^2))</f>
        <v/>
      </c>
      <c r="D4" s="15">
        <f>IF(p_reset=1,0,D4+p_dt*(-u_vel!D4*((1-p_theta)*(E4-C4)/(2*p_h)+p_theta*IF(u_vel!D4&gt;0,(D4-C4),(E4-D4))/p_h)-v_vel!D4*((1-p_theta)*(D3-D5)/(2*p_h)+p_theta*IF(v_vel!D4&gt;0,(D4-D5),(D3-D4))/p_h)+p_nu*(E4+C4+D3+D5-4*D4)/p_h^2))</f>
        <v/>
      </c>
      <c r="E4" s="15">
        <f>IF(p_reset=1,0,E4+p_dt*(-u_vel!E4*((1-p_theta)*(F4-D4)/(2*p_h)+p_theta*IF(u_vel!E4&gt;0,(E4-D4),(F4-E4))/p_h)-v_vel!E4*((1-p_theta)*(E3-E5)/(2*p_h)+p_theta*IF(v_vel!E4&gt;0,(E4-E5),(E3-E4))/p_h)+p_nu*(F4+D4+E3+E5-4*E4)/p_h^2))</f>
        <v/>
      </c>
      <c r="F4" s="15">
        <f>IF(p_reset=1,0,F4+p_dt*(-u_vel!F4*((1-p_theta)*(G4-E4)/(2*p_h)+p_theta*IF(u_vel!F4&gt;0,(F4-E4),(G4-F4))/p_h)-v_vel!F4*((1-p_theta)*(F3-F5)/(2*p_h)+p_theta*IF(v_vel!F4&gt;0,(F4-F5),(F3-F4))/p_h)+p_nu*(G4+E4+F3+F5-4*F4)/p_h^2))</f>
        <v/>
      </c>
      <c r="G4" s="15">
        <f>IF(p_reset=1,0,G4+p_dt*(-u_vel!G4*((1-p_theta)*(H4-F4)/(2*p_h)+p_theta*IF(u_vel!G4&gt;0,(G4-F4),(H4-G4))/p_h)-v_vel!G4*((1-p_theta)*(G3-G5)/(2*p_h)+p_theta*IF(v_vel!G4&gt;0,(G4-G5),(G3-G4))/p_h)+p_nu*(H4+F4+G3+G5-4*G4)/p_h^2))</f>
        <v/>
      </c>
      <c r="H4" s="15">
        <f>IF(p_reset=1,0,H4+p_dt*(-u_vel!H4*((1-p_theta)*(I4-G4)/(2*p_h)+p_theta*IF(u_vel!H4&gt;0,(H4-G4),(I4-H4))/p_h)-v_vel!H4*((1-p_theta)*(H3-H5)/(2*p_h)+p_theta*IF(v_vel!H4&gt;0,(H4-H5),(H3-H4))/p_h)+p_nu*(I4+G4+H3+H5-4*H4)/p_h^2))</f>
        <v/>
      </c>
      <c r="I4" s="15">
        <f>IF(p_reset=1,0,I4+p_dt*(-u_vel!I4*((1-p_theta)*(J4-H4)/(2*p_h)+p_theta*IF(u_vel!I4&gt;0,(I4-H4),(J4-I4))/p_h)-v_vel!I4*((1-p_theta)*(I3-I5)/(2*p_h)+p_theta*IF(v_vel!I4&gt;0,(I4-I5),(I3-I4))/p_h)+p_nu*(J4+H4+I3+I5-4*I4)/p_h^2))</f>
        <v/>
      </c>
      <c r="J4" s="15">
        <f>IF(p_reset=1,0,J4+p_dt*(-u_vel!J4*((1-p_theta)*(K4-I4)/(2*p_h)+p_theta*IF(u_vel!J4&gt;0,(J4-I4),(K4-J4))/p_h)-v_vel!J4*((1-p_theta)*(J3-J5)/(2*p_h)+p_theta*IF(v_vel!J4&gt;0,(J4-J5),(J3-J4))/p_h)+p_nu*(K4+I4+J3+J5-4*J4)/p_h^2))</f>
        <v/>
      </c>
      <c r="K4" s="15">
        <f>IF(p_reset=1,0,K4+p_dt*(-u_vel!K4*((1-p_theta)*(L4-J4)/(2*p_h)+p_theta*IF(u_vel!K4&gt;0,(K4-J4),(L4-K4))/p_h)-v_vel!K4*((1-p_theta)*(K3-K5)/(2*p_h)+p_theta*IF(v_vel!K4&gt;0,(K4-K5),(K3-K4))/p_h)+p_nu*(L4+J4+K3+K5-4*K4)/p_h^2))</f>
        <v/>
      </c>
      <c r="L4" s="15">
        <f>IF(p_reset=1,0,L4+p_dt*(-u_vel!L4*((1-p_theta)*(M4-K4)/(2*p_h)+p_theta*IF(u_vel!L4&gt;0,(L4-K4),(M4-L4))/p_h)-v_vel!L4*((1-p_theta)*(L3-L5)/(2*p_h)+p_theta*IF(v_vel!L4&gt;0,(L4-L5),(L3-L4))/p_h)+p_nu*(M4+K4+L3+L5-4*L4)/p_h^2))</f>
        <v/>
      </c>
      <c r="M4" s="15">
        <f>IF(p_reset=1,0,M4+p_dt*(-u_vel!M4*((1-p_theta)*(N4-L4)/(2*p_h)+p_theta*IF(u_vel!M4&gt;0,(M4-L4),(N4-M4))/p_h)-v_vel!M4*((1-p_theta)*(M3-M5)/(2*p_h)+p_theta*IF(v_vel!M4&gt;0,(M4-M5),(M3-M4))/p_h)+p_nu*(N4+L4+M3+M5-4*M4)/p_h^2))</f>
        <v/>
      </c>
      <c r="N4" s="15">
        <f>IF(p_reset=1,0,N4+p_dt*(-u_vel!N4*((1-p_theta)*(O4-M4)/(2*p_h)+p_theta*IF(u_vel!N4&gt;0,(N4-M4),(O4-N4))/p_h)-v_vel!N4*((1-p_theta)*(N3-N5)/(2*p_h)+p_theta*IF(v_vel!N4&gt;0,(N4-N5),(N3-N4))/p_h)+p_nu*(O4+M4+N3+N5-4*N4)/p_h^2))</f>
        <v/>
      </c>
      <c r="O4" s="15">
        <f>IF(p_reset=1,0,O4+p_dt*(-u_vel!O4*((1-p_theta)*(P4-N4)/(2*p_h)+p_theta*IF(u_vel!O4&gt;0,(O4-N4),(P4-O4))/p_h)-v_vel!O4*((1-p_theta)*(O3-O5)/(2*p_h)+p_theta*IF(v_vel!O4&gt;0,(O4-O5),(O3-O4))/p_h)+p_nu*(P4+N4+O3+O5-4*O4)/p_h^2))</f>
        <v/>
      </c>
      <c r="P4" s="15">
        <f>IF(p_reset=1,0,P4+p_dt*(-u_vel!P4*((1-p_theta)*(Q4-O4)/(2*p_h)+p_theta*IF(u_vel!P4&gt;0,(P4-O4),(Q4-P4))/p_h)-v_vel!P4*((1-p_theta)*(P3-P5)/(2*p_h)+p_theta*IF(v_vel!P4&gt;0,(P4-P5),(P3-P4))/p_h)+p_nu*(Q4+O4+P3+P5-4*P4)/p_h^2))</f>
        <v/>
      </c>
      <c r="Q4" s="15">
        <f>IF(p_reset=1,0,Q4+p_dt*(-u_vel!Q4*((1-p_theta)*(R4-P4)/(2*p_h)+p_theta*IF(u_vel!Q4&gt;0,(Q4-P4),(R4-Q4))/p_h)-v_vel!Q4*((1-p_theta)*(Q3-Q5)/(2*p_h)+p_theta*IF(v_vel!Q4&gt;0,(Q4-Q5),(Q3-Q4))/p_h)+p_nu*(R4+P4+Q3+Q5-4*Q4)/p_h^2))</f>
        <v/>
      </c>
      <c r="R4" s="15">
        <f>IF(p_reset=1,0,R4+p_dt*(-u_vel!R4*((1-p_theta)*(S4-Q4)/(2*p_h)+p_theta*IF(u_vel!R4&gt;0,(R4-Q4),(S4-R4))/p_h)-v_vel!R4*((1-p_theta)*(R3-R5)/(2*p_h)+p_theta*IF(v_vel!R4&gt;0,(R4-R5),(R3-R4))/p_h)+p_nu*(S4+Q4+R3+R5-4*R4)/p_h^2))</f>
        <v/>
      </c>
      <c r="S4" s="15">
        <f>IF(p_reset=1,0,S4+p_dt*(-u_vel!S4*((1-p_theta)*(T4-R4)/(2*p_h)+p_theta*IF(u_vel!S4&gt;0,(S4-R4),(T4-S4))/p_h)-v_vel!S4*((1-p_theta)*(S3-S5)/(2*p_h)+p_theta*IF(v_vel!S4&gt;0,(S4-S5),(S3-S4))/p_h)+p_nu*(T4+R4+S3+S5-4*S4)/p_h^2))</f>
        <v/>
      </c>
      <c r="T4" s="15">
        <f>IF(p_reset=1,0,T4+p_dt*(-u_vel!T4*((1-p_theta)*(U4-S4)/(2*p_h)+p_theta*IF(u_vel!T4&gt;0,(T4-S4),(U4-T4))/p_h)-v_vel!T4*((1-p_theta)*(T3-T5)/(2*p_h)+p_theta*IF(v_vel!T4&gt;0,(T4-T5),(T3-T4))/p_h)+p_nu*(U4+S4+T3+T5-4*T4)/p_h^2))</f>
        <v/>
      </c>
      <c r="U4" s="15">
        <f>IF(p_reset=1,0,U4+p_dt*(-u_vel!U4*((1-p_theta)*(V4-T4)/(2*p_h)+p_theta*IF(u_vel!U4&gt;0,(U4-T4),(V4-U4))/p_h)-v_vel!U4*((1-p_theta)*(U3-U5)/(2*p_h)+p_theta*IF(v_vel!U4&gt;0,(U4-U5),(U3-U4))/p_h)+p_nu*(V4+T4+U3+U5-4*U4)/p_h^2))</f>
        <v/>
      </c>
      <c r="V4" s="15">
        <f>IF(p_reset=1,0,V4+p_dt*(-u_vel!V4*((1-p_theta)*(W4-U4)/(2*p_h)+p_theta*IF(u_vel!V4&gt;0,(V4-U4),(W4-V4))/p_h)-v_vel!V4*((1-p_theta)*(V3-V5)/(2*p_h)+p_theta*IF(v_vel!V4&gt;0,(V4-V5),(V3-V4))/p_h)+p_nu*(W4+U4+V3+V5-4*V4)/p_h^2))</f>
        <v/>
      </c>
      <c r="W4" s="15">
        <f>IF(p_reset=1,0,W4+p_dt*(-u_vel!W4*((1-p_theta)*(X4-V4)/(2*p_h)+p_theta*IF(u_vel!W4&gt;0,(W4-V4),(X4-W4))/p_h)-v_vel!W4*((1-p_theta)*(W3-W5)/(2*p_h)+p_theta*IF(v_vel!W4&gt;0,(W4-W5),(W3-W4))/p_h)+p_nu*(X4+V4+W3+W5-4*W4)/p_h^2))</f>
        <v/>
      </c>
      <c r="X4" s="15">
        <f>IF(p_reset=1,0,X4+p_dt*(-u_vel!X4*((1-p_theta)*(Y4-W4)/(2*p_h)+p_theta*IF(u_vel!X4&gt;0,(X4-W4),(Y4-X4))/p_h)-v_vel!X4*((1-p_theta)*(X3-X5)/(2*p_h)+p_theta*IF(v_vel!X4&gt;0,(X4-X5),(X3-X4))/p_h)+p_nu*(Y4+W4+X3+X5-4*X4)/p_h^2))</f>
        <v/>
      </c>
      <c r="Y4" s="15">
        <f>IF(p_reset=1,0,Y4+p_dt*(-u_vel!Y4*((1-p_theta)*(Z4-X4)/(2*p_h)+p_theta*IF(u_vel!Y4&gt;0,(Y4-X4),(Z4-Y4))/p_h)-v_vel!Y4*((1-p_theta)*(Y3-Y5)/(2*p_h)+p_theta*IF(v_vel!Y4&gt;0,(Y4-Y5),(Y3-Y4))/p_h)+p_nu*(Z4+X4+Y3+Y5-4*Y4)/p_h^2))</f>
        <v/>
      </c>
      <c r="Z4" s="15">
        <f>IF(p_reset=1,0,Z4+p_dt*(-u_vel!Z4*((1-p_theta)*(AA4-Y4)/(2*p_h)+p_theta*IF(u_vel!Z4&gt;0,(Z4-Y4),(AA4-Z4))/p_h)-v_vel!Z4*((1-p_theta)*(Z3-Z5)/(2*p_h)+p_theta*IF(v_vel!Z4&gt;0,(Z4-Z5),(Z3-Z4))/p_h)+p_nu*(AA4+Y4+Z3+Z5-4*Z4)/p_h^2))</f>
        <v/>
      </c>
      <c r="AA4" s="15">
        <f>IF(p_reset=1,0,AA4+p_dt*(-u_vel!AA4*((1-p_theta)*(AB4-Z4)/(2*p_h)+p_theta*IF(u_vel!AA4&gt;0,(AA4-Z4),(AB4-AA4))/p_h)-v_vel!AA4*((1-p_theta)*(AA3-AA5)/(2*p_h)+p_theta*IF(v_vel!AA4&gt;0,(AA4-AA5),(AA3-AA4))/p_h)+p_nu*(AB4+Z4+AA3+AA5-4*AA4)/p_h^2))</f>
        <v/>
      </c>
      <c r="AB4" s="15">
        <f>IF(p_reset=1,0,AB4+p_dt*(-u_vel!AB4*((1-p_theta)*(AC4-AA4)/(2*p_h)+p_theta*IF(u_vel!AB4&gt;0,(AB4-AA4),(AC4-AB4))/p_h)-v_vel!AB4*((1-p_theta)*(AB3-AB5)/(2*p_h)+p_theta*IF(v_vel!AB4&gt;0,(AB4-AB5),(AB3-AB4))/p_h)+p_nu*(AC4+AA4+AB3+AB5-4*AB4)/p_h^2))</f>
        <v/>
      </c>
      <c r="AC4" s="15">
        <f>IF(p_reset=1,0,AC4+p_dt*(-u_vel!AC4*((1-p_theta)*(AD4-AB4)/(2*p_h)+p_theta*IF(u_vel!AC4&gt;0,(AC4-AB4),(AD4-AC4))/p_h)-v_vel!AC4*((1-p_theta)*(AC3-AC5)/(2*p_h)+p_theta*IF(v_vel!AC4&gt;0,(AC4-AC5),(AC3-AC4))/p_h)+p_nu*(AD4+AB4+AC3+AC5-4*AC4)/p_h^2))</f>
        <v/>
      </c>
      <c r="AD4" s="15">
        <f>IF(p_reset=1,0,AD4+p_dt*(-u_vel!AD4*((1-p_theta)*(AE4-AC4)/(2*p_h)+p_theta*IF(u_vel!AD4&gt;0,(AD4-AC4),(AE4-AD4))/p_h)-v_vel!AD4*((1-p_theta)*(AD3-AD5)/(2*p_h)+p_theta*IF(v_vel!AD4&gt;0,(AD4-AD5),(AD3-AD4))/p_h)+p_nu*(AE4+AC4+AD3+AD5-4*AD4)/p_h^2))</f>
        <v/>
      </c>
      <c r="AE4" s="15">
        <f>IF(p_reset=1,0,AE4+p_dt*(-u_vel!AE4*((1-p_theta)*(AF4-AD4)/(2*p_h)+p_theta*IF(u_vel!AE4&gt;0,(AE4-AD4),(AF4-AE4))/p_h)-v_vel!AE4*((1-p_theta)*(AE3-AE5)/(2*p_h)+p_theta*IF(v_vel!AE4&gt;0,(AE4-AE5),(AE3-AE4))/p_h)+p_nu*(AF4+AD4+AE3+AE5-4*AE4)/p_h^2))</f>
        <v/>
      </c>
      <c r="AF4" s="15">
        <f>IF(p_reset=1,0,AF4+p_dt*(-u_vel!AF4*((1-p_theta)*(AG4-AE4)/(2*p_h)+p_theta*IF(u_vel!AF4&gt;0,(AF4-AE4),(AG4-AF4))/p_h)-v_vel!AF4*((1-p_theta)*(AF3-AF5)/(2*p_h)+p_theta*IF(v_vel!AF4&gt;0,(AF4-AF5),(AF3-AF4))/p_h)+p_nu*(AG4+AE4+AF3+AF5-4*AF4)/p_h^2))</f>
        <v/>
      </c>
      <c r="AG4" s="15">
        <f>IF(p_reset=1,0,AG4+p_dt*(-u_vel!AG4*((1-p_theta)*(AH4-AF4)/(2*p_h)+p_theta*IF(u_vel!AG4&gt;0,(AG4-AF4),(AH4-AG4))/p_h)-v_vel!AG4*((1-p_theta)*(AG3-AG5)/(2*p_h)+p_theta*IF(v_vel!AG4&gt;0,(AG4-AG5),(AG3-AG4))/p_h)+p_nu*(AH4+AF4+AG3+AG5-4*AG4)/p_h^2))</f>
        <v/>
      </c>
      <c r="AH4" s="15">
        <f>-2*Psi!AG4/p_h^2</f>
        <v/>
      </c>
    </row>
    <row r="5">
      <c r="A5" s="7">
        <f>A4-p_h</f>
        <v/>
      </c>
      <c r="B5" s="15">
        <f>-2*Psi!C5/p_h^2</f>
        <v/>
      </c>
      <c r="C5" s="15">
        <f>IF(p_reset=1,0,C5+p_dt*(-u_vel!C5*((1-p_theta)*(D5-B5)/(2*p_h)+p_theta*IF(u_vel!C5&gt;0,(C5-B5),(D5-C5))/p_h)-v_vel!C5*((1-p_theta)*(C4-C6)/(2*p_h)+p_theta*IF(v_vel!C5&gt;0,(C5-C6),(C4-C5))/p_h)+p_nu*(D5+B5+C4+C6-4*C5)/p_h^2))</f>
        <v/>
      </c>
      <c r="D5" s="15">
        <f>IF(p_reset=1,0,D5+p_dt*(-u_vel!D5*((1-p_theta)*(E5-C5)/(2*p_h)+p_theta*IF(u_vel!D5&gt;0,(D5-C5),(E5-D5))/p_h)-v_vel!D5*((1-p_theta)*(D4-D6)/(2*p_h)+p_theta*IF(v_vel!D5&gt;0,(D5-D6),(D4-D5))/p_h)+p_nu*(E5+C5+D4+D6-4*D5)/p_h^2))</f>
        <v/>
      </c>
      <c r="E5" s="15">
        <f>IF(p_reset=1,0,E5+p_dt*(-u_vel!E5*((1-p_theta)*(F5-D5)/(2*p_h)+p_theta*IF(u_vel!E5&gt;0,(E5-D5),(F5-E5))/p_h)-v_vel!E5*((1-p_theta)*(E4-E6)/(2*p_h)+p_theta*IF(v_vel!E5&gt;0,(E5-E6),(E4-E5))/p_h)+p_nu*(F5+D5+E4+E6-4*E5)/p_h^2))</f>
        <v/>
      </c>
      <c r="F5" s="15">
        <f>IF(p_reset=1,0,F5+p_dt*(-u_vel!F5*((1-p_theta)*(G5-E5)/(2*p_h)+p_theta*IF(u_vel!F5&gt;0,(F5-E5),(G5-F5))/p_h)-v_vel!F5*((1-p_theta)*(F4-F6)/(2*p_h)+p_theta*IF(v_vel!F5&gt;0,(F5-F6),(F4-F5))/p_h)+p_nu*(G5+E5+F4+F6-4*F5)/p_h^2))</f>
        <v/>
      </c>
      <c r="G5" s="15">
        <f>IF(p_reset=1,0,G5+p_dt*(-u_vel!G5*((1-p_theta)*(H5-F5)/(2*p_h)+p_theta*IF(u_vel!G5&gt;0,(G5-F5),(H5-G5))/p_h)-v_vel!G5*((1-p_theta)*(G4-G6)/(2*p_h)+p_theta*IF(v_vel!G5&gt;0,(G5-G6),(G4-G5))/p_h)+p_nu*(H5+F5+G4+G6-4*G5)/p_h^2))</f>
        <v/>
      </c>
      <c r="H5" s="15">
        <f>IF(p_reset=1,0,H5+p_dt*(-u_vel!H5*((1-p_theta)*(I5-G5)/(2*p_h)+p_theta*IF(u_vel!H5&gt;0,(H5-G5),(I5-H5))/p_h)-v_vel!H5*((1-p_theta)*(H4-H6)/(2*p_h)+p_theta*IF(v_vel!H5&gt;0,(H5-H6),(H4-H5))/p_h)+p_nu*(I5+G5+H4+H6-4*H5)/p_h^2))</f>
        <v/>
      </c>
      <c r="I5" s="15">
        <f>IF(p_reset=1,0,I5+p_dt*(-u_vel!I5*((1-p_theta)*(J5-H5)/(2*p_h)+p_theta*IF(u_vel!I5&gt;0,(I5-H5),(J5-I5))/p_h)-v_vel!I5*((1-p_theta)*(I4-I6)/(2*p_h)+p_theta*IF(v_vel!I5&gt;0,(I5-I6),(I4-I5))/p_h)+p_nu*(J5+H5+I4+I6-4*I5)/p_h^2))</f>
        <v/>
      </c>
      <c r="J5" s="15">
        <f>IF(p_reset=1,0,J5+p_dt*(-u_vel!J5*((1-p_theta)*(K5-I5)/(2*p_h)+p_theta*IF(u_vel!J5&gt;0,(J5-I5),(K5-J5))/p_h)-v_vel!J5*((1-p_theta)*(J4-J6)/(2*p_h)+p_theta*IF(v_vel!J5&gt;0,(J5-J6),(J4-J5))/p_h)+p_nu*(K5+I5+J4+J6-4*J5)/p_h^2))</f>
        <v/>
      </c>
      <c r="K5" s="15">
        <f>IF(p_reset=1,0,K5+p_dt*(-u_vel!K5*((1-p_theta)*(L5-J5)/(2*p_h)+p_theta*IF(u_vel!K5&gt;0,(K5-J5),(L5-K5))/p_h)-v_vel!K5*((1-p_theta)*(K4-K6)/(2*p_h)+p_theta*IF(v_vel!K5&gt;0,(K5-K6),(K4-K5))/p_h)+p_nu*(L5+J5+K4+K6-4*K5)/p_h^2))</f>
        <v/>
      </c>
      <c r="L5" s="15">
        <f>IF(p_reset=1,0,L5+p_dt*(-u_vel!L5*((1-p_theta)*(M5-K5)/(2*p_h)+p_theta*IF(u_vel!L5&gt;0,(L5-K5),(M5-L5))/p_h)-v_vel!L5*((1-p_theta)*(L4-L6)/(2*p_h)+p_theta*IF(v_vel!L5&gt;0,(L5-L6),(L4-L5))/p_h)+p_nu*(M5+K5+L4+L6-4*L5)/p_h^2))</f>
        <v/>
      </c>
      <c r="M5" s="15">
        <f>IF(p_reset=1,0,M5+p_dt*(-u_vel!M5*((1-p_theta)*(N5-L5)/(2*p_h)+p_theta*IF(u_vel!M5&gt;0,(M5-L5),(N5-M5))/p_h)-v_vel!M5*((1-p_theta)*(M4-M6)/(2*p_h)+p_theta*IF(v_vel!M5&gt;0,(M5-M6),(M4-M5))/p_h)+p_nu*(N5+L5+M4+M6-4*M5)/p_h^2))</f>
        <v/>
      </c>
      <c r="N5" s="15">
        <f>IF(p_reset=1,0,N5+p_dt*(-u_vel!N5*((1-p_theta)*(O5-M5)/(2*p_h)+p_theta*IF(u_vel!N5&gt;0,(N5-M5),(O5-N5))/p_h)-v_vel!N5*((1-p_theta)*(N4-N6)/(2*p_h)+p_theta*IF(v_vel!N5&gt;0,(N5-N6),(N4-N5))/p_h)+p_nu*(O5+M5+N4+N6-4*N5)/p_h^2))</f>
        <v/>
      </c>
      <c r="O5" s="15">
        <f>IF(p_reset=1,0,O5+p_dt*(-u_vel!O5*((1-p_theta)*(P5-N5)/(2*p_h)+p_theta*IF(u_vel!O5&gt;0,(O5-N5),(P5-O5))/p_h)-v_vel!O5*((1-p_theta)*(O4-O6)/(2*p_h)+p_theta*IF(v_vel!O5&gt;0,(O5-O6),(O4-O5))/p_h)+p_nu*(P5+N5+O4+O6-4*O5)/p_h^2))</f>
        <v/>
      </c>
      <c r="P5" s="15">
        <f>IF(p_reset=1,0,P5+p_dt*(-u_vel!P5*((1-p_theta)*(Q5-O5)/(2*p_h)+p_theta*IF(u_vel!P5&gt;0,(P5-O5),(Q5-P5))/p_h)-v_vel!P5*((1-p_theta)*(P4-P6)/(2*p_h)+p_theta*IF(v_vel!P5&gt;0,(P5-P6),(P4-P5))/p_h)+p_nu*(Q5+O5+P4+P6-4*P5)/p_h^2))</f>
        <v/>
      </c>
      <c r="Q5" s="15">
        <f>IF(p_reset=1,0,Q5+p_dt*(-u_vel!Q5*((1-p_theta)*(R5-P5)/(2*p_h)+p_theta*IF(u_vel!Q5&gt;0,(Q5-P5),(R5-Q5))/p_h)-v_vel!Q5*((1-p_theta)*(Q4-Q6)/(2*p_h)+p_theta*IF(v_vel!Q5&gt;0,(Q5-Q6),(Q4-Q5))/p_h)+p_nu*(R5+P5+Q4+Q6-4*Q5)/p_h^2))</f>
        <v/>
      </c>
      <c r="R5" s="15">
        <f>IF(p_reset=1,0,R5+p_dt*(-u_vel!R5*((1-p_theta)*(S5-Q5)/(2*p_h)+p_theta*IF(u_vel!R5&gt;0,(R5-Q5),(S5-R5))/p_h)-v_vel!R5*((1-p_theta)*(R4-R6)/(2*p_h)+p_theta*IF(v_vel!R5&gt;0,(R5-R6),(R4-R5))/p_h)+p_nu*(S5+Q5+R4+R6-4*R5)/p_h^2))</f>
        <v/>
      </c>
      <c r="S5" s="15">
        <f>IF(p_reset=1,0,S5+p_dt*(-u_vel!S5*((1-p_theta)*(T5-R5)/(2*p_h)+p_theta*IF(u_vel!S5&gt;0,(S5-R5),(T5-S5))/p_h)-v_vel!S5*((1-p_theta)*(S4-S6)/(2*p_h)+p_theta*IF(v_vel!S5&gt;0,(S5-S6),(S4-S5))/p_h)+p_nu*(T5+R5+S4+S6-4*S5)/p_h^2))</f>
        <v/>
      </c>
      <c r="T5" s="15">
        <f>IF(p_reset=1,0,T5+p_dt*(-u_vel!T5*((1-p_theta)*(U5-S5)/(2*p_h)+p_theta*IF(u_vel!T5&gt;0,(T5-S5),(U5-T5))/p_h)-v_vel!T5*((1-p_theta)*(T4-T6)/(2*p_h)+p_theta*IF(v_vel!T5&gt;0,(T5-T6),(T4-T5))/p_h)+p_nu*(U5+S5+T4+T6-4*T5)/p_h^2))</f>
        <v/>
      </c>
      <c r="U5" s="15">
        <f>IF(p_reset=1,0,U5+p_dt*(-u_vel!U5*((1-p_theta)*(V5-T5)/(2*p_h)+p_theta*IF(u_vel!U5&gt;0,(U5-T5),(V5-U5))/p_h)-v_vel!U5*((1-p_theta)*(U4-U6)/(2*p_h)+p_theta*IF(v_vel!U5&gt;0,(U5-U6),(U4-U5))/p_h)+p_nu*(V5+T5+U4+U6-4*U5)/p_h^2))</f>
        <v/>
      </c>
      <c r="V5" s="15">
        <f>IF(p_reset=1,0,V5+p_dt*(-u_vel!V5*((1-p_theta)*(W5-U5)/(2*p_h)+p_theta*IF(u_vel!V5&gt;0,(V5-U5),(W5-V5))/p_h)-v_vel!V5*((1-p_theta)*(V4-V6)/(2*p_h)+p_theta*IF(v_vel!V5&gt;0,(V5-V6),(V4-V5))/p_h)+p_nu*(W5+U5+V4+V6-4*V5)/p_h^2))</f>
        <v/>
      </c>
      <c r="W5" s="15">
        <f>IF(p_reset=1,0,W5+p_dt*(-u_vel!W5*((1-p_theta)*(X5-V5)/(2*p_h)+p_theta*IF(u_vel!W5&gt;0,(W5-V5),(X5-W5))/p_h)-v_vel!W5*((1-p_theta)*(W4-W6)/(2*p_h)+p_theta*IF(v_vel!W5&gt;0,(W5-W6),(W4-W5))/p_h)+p_nu*(X5+V5+W4+W6-4*W5)/p_h^2))</f>
        <v/>
      </c>
      <c r="X5" s="15">
        <f>IF(p_reset=1,0,X5+p_dt*(-u_vel!X5*((1-p_theta)*(Y5-W5)/(2*p_h)+p_theta*IF(u_vel!X5&gt;0,(X5-W5),(Y5-X5))/p_h)-v_vel!X5*((1-p_theta)*(X4-X6)/(2*p_h)+p_theta*IF(v_vel!X5&gt;0,(X5-X6),(X4-X5))/p_h)+p_nu*(Y5+W5+X4+X6-4*X5)/p_h^2))</f>
        <v/>
      </c>
      <c r="Y5" s="15">
        <f>IF(p_reset=1,0,Y5+p_dt*(-u_vel!Y5*((1-p_theta)*(Z5-X5)/(2*p_h)+p_theta*IF(u_vel!Y5&gt;0,(Y5-X5),(Z5-Y5))/p_h)-v_vel!Y5*((1-p_theta)*(Y4-Y6)/(2*p_h)+p_theta*IF(v_vel!Y5&gt;0,(Y5-Y6),(Y4-Y5))/p_h)+p_nu*(Z5+X5+Y4+Y6-4*Y5)/p_h^2))</f>
        <v/>
      </c>
      <c r="Z5" s="15">
        <f>IF(p_reset=1,0,Z5+p_dt*(-u_vel!Z5*((1-p_theta)*(AA5-Y5)/(2*p_h)+p_theta*IF(u_vel!Z5&gt;0,(Z5-Y5),(AA5-Z5))/p_h)-v_vel!Z5*((1-p_theta)*(Z4-Z6)/(2*p_h)+p_theta*IF(v_vel!Z5&gt;0,(Z5-Z6),(Z4-Z5))/p_h)+p_nu*(AA5+Y5+Z4+Z6-4*Z5)/p_h^2))</f>
        <v/>
      </c>
      <c r="AA5" s="15">
        <f>IF(p_reset=1,0,AA5+p_dt*(-u_vel!AA5*((1-p_theta)*(AB5-Z5)/(2*p_h)+p_theta*IF(u_vel!AA5&gt;0,(AA5-Z5),(AB5-AA5))/p_h)-v_vel!AA5*((1-p_theta)*(AA4-AA6)/(2*p_h)+p_theta*IF(v_vel!AA5&gt;0,(AA5-AA6),(AA4-AA5))/p_h)+p_nu*(AB5+Z5+AA4+AA6-4*AA5)/p_h^2))</f>
        <v/>
      </c>
      <c r="AB5" s="15">
        <f>IF(p_reset=1,0,AB5+p_dt*(-u_vel!AB5*((1-p_theta)*(AC5-AA5)/(2*p_h)+p_theta*IF(u_vel!AB5&gt;0,(AB5-AA5),(AC5-AB5))/p_h)-v_vel!AB5*((1-p_theta)*(AB4-AB6)/(2*p_h)+p_theta*IF(v_vel!AB5&gt;0,(AB5-AB6),(AB4-AB5))/p_h)+p_nu*(AC5+AA5+AB4+AB6-4*AB5)/p_h^2))</f>
        <v/>
      </c>
      <c r="AC5" s="15">
        <f>IF(p_reset=1,0,AC5+p_dt*(-u_vel!AC5*((1-p_theta)*(AD5-AB5)/(2*p_h)+p_theta*IF(u_vel!AC5&gt;0,(AC5-AB5),(AD5-AC5))/p_h)-v_vel!AC5*((1-p_theta)*(AC4-AC6)/(2*p_h)+p_theta*IF(v_vel!AC5&gt;0,(AC5-AC6),(AC4-AC5))/p_h)+p_nu*(AD5+AB5+AC4+AC6-4*AC5)/p_h^2))</f>
        <v/>
      </c>
      <c r="AD5" s="15">
        <f>IF(p_reset=1,0,AD5+p_dt*(-u_vel!AD5*((1-p_theta)*(AE5-AC5)/(2*p_h)+p_theta*IF(u_vel!AD5&gt;0,(AD5-AC5),(AE5-AD5))/p_h)-v_vel!AD5*((1-p_theta)*(AD4-AD6)/(2*p_h)+p_theta*IF(v_vel!AD5&gt;0,(AD5-AD6),(AD4-AD5))/p_h)+p_nu*(AE5+AC5+AD4+AD6-4*AD5)/p_h^2))</f>
        <v/>
      </c>
      <c r="AE5" s="15">
        <f>IF(p_reset=1,0,AE5+p_dt*(-u_vel!AE5*((1-p_theta)*(AF5-AD5)/(2*p_h)+p_theta*IF(u_vel!AE5&gt;0,(AE5-AD5),(AF5-AE5))/p_h)-v_vel!AE5*((1-p_theta)*(AE4-AE6)/(2*p_h)+p_theta*IF(v_vel!AE5&gt;0,(AE5-AE6),(AE4-AE5))/p_h)+p_nu*(AF5+AD5+AE4+AE6-4*AE5)/p_h^2))</f>
        <v/>
      </c>
      <c r="AF5" s="15">
        <f>IF(p_reset=1,0,AF5+p_dt*(-u_vel!AF5*((1-p_theta)*(AG5-AE5)/(2*p_h)+p_theta*IF(u_vel!AF5&gt;0,(AF5-AE5),(AG5-AF5))/p_h)-v_vel!AF5*((1-p_theta)*(AF4-AF6)/(2*p_h)+p_theta*IF(v_vel!AF5&gt;0,(AF5-AF6),(AF4-AF5))/p_h)+p_nu*(AG5+AE5+AF4+AF6-4*AF5)/p_h^2))</f>
        <v/>
      </c>
      <c r="AG5" s="15">
        <f>IF(p_reset=1,0,AG5+p_dt*(-u_vel!AG5*((1-p_theta)*(AH5-AF5)/(2*p_h)+p_theta*IF(u_vel!AG5&gt;0,(AG5-AF5),(AH5-AG5))/p_h)-v_vel!AG5*((1-p_theta)*(AG4-AG6)/(2*p_h)+p_theta*IF(v_vel!AG5&gt;0,(AG5-AG6),(AG4-AG5))/p_h)+p_nu*(AH5+AF5+AG4+AG6-4*AG5)/p_h^2))</f>
        <v/>
      </c>
      <c r="AH5" s="15">
        <f>-2*Psi!AG5/p_h^2</f>
        <v/>
      </c>
    </row>
    <row r="6">
      <c r="A6" s="7">
        <f>A5-p_h</f>
        <v/>
      </c>
      <c r="B6" s="15">
        <f>-2*Psi!C6/p_h^2</f>
        <v/>
      </c>
      <c r="C6" s="15">
        <f>IF(p_reset=1,0,C6+p_dt*(-u_vel!C6*((1-p_theta)*(D6-B6)/(2*p_h)+p_theta*IF(u_vel!C6&gt;0,(C6-B6),(D6-C6))/p_h)-v_vel!C6*((1-p_theta)*(C5-C7)/(2*p_h)+p_theta*IF(v_vel!C6&gt;0,(C6-C7),(C5-C6))/p_h)+p_nu*(D6+B6+C5+C7-4*C6)/p_h^2))</f>
        <v/>
      </c>
      <c r="D6" s="15">
        <f>IF(p_reset=1,0,D6+p_dt*(-u_vel!D6*((1-p_theta)*(E6-C6)/(2*p_h)+p_theta*IF(u_vel!D6&gt;0,(D6-C6),(E6-D6))/p_h)-v_vel!D6*((1-p_theta)*(D5-D7)/(2*p_h)+p_theta*IF(v_vel!D6&gt;0,(D6-D7),(D5-D6))/p_h)+p_nu*(E6+C6+D5+D7-4*D6)/p_h^2))</f>
        <v/>
      </c>
      <c r="E6" s="15">
        <f>IF(p_reset=1,0,E6+p_dt*(-u_vel!E6*((1-p_theta)*(F6-D6)/(2*p_h)+p_theta*IF(u_vel!E6&gt;0,(E6-D6),(F6-E6))/p_h)-v_vel!E6*((1-p_theta)*(E5-E7)/(2*p_h)+p_theta*IF(v_vel!E6&gt;0,(E6-E7),(E5-E6))/p_h)+p_nu*(F6+D6+E5+E7-4*E6)/p_h^2))</f>
        <v/>
      </c>
      <c r="F6" s="15">
        <f>IF(p_reset=1,0,F6+p_dt*(-u_vel!F6*((1-p_theta)*(G6-E6)/(2*p_h)+p_theta*IF(u_vel!F6&gt;0,(F6-E6),(G6-F6))/p_h)-v_vel!F6*((1-p_theta)*(F5-F7)/(2*p_h)+p_theta*IF(v_vel!F6&gt;0,(F6-F7),(F5-F6))/p_h)+p_nu*(G6+E6+F5+F7-4*F6)/p_h^2))</f>
        <v/>
      </c>
      <c r="G6" s="15">
        <f>IF(p_reset=1,0,G6+p_dt*(-u_vel!G6*((1-p_theta)*(H6-F6)/(2*p_h)+p_theta*IF(u_vel!G6&gt;0,(G6-F6),(H6-G6))/p_h)-v_vel!G6*((1-p_theta)*(G5-G7)/(2*p_h)+p_theta*IF(v_vel!G6&gt;0,(G6-G7),(G5-G6))/p_h)+p_nu*(H6+F6+G5+G7-4*G6)/p_h^2))</f>
        <v/>
      </c>
      <c r="H6" s="15">
        <f>IF(p_reset=1,0,H6+p_dt*(-u_vel!H6*((1-p_theta)*(I6-G6)/(2*p_h)+p_theta*IF(u_vel!H6&gt;0,(H6-G6),(I6-H6))/p_h)-v_vel!H6*((1-p_theta)*(H5-H7)/(2*p_h)+p_theta*IF(v_vel!H6&gt;0,(H6-H7),(H5-H6))/p_h)+p_nu*(I6+G6+H5+H7-4*H6)/p_h^2))</f>
        <v/>
      </c>
      <c r="I6" s="15">
        <f>IF(p_reset=1,0,I6+p_dt*(-u_vel!I6*((1-p_theta)*(J6-H6)/(2*p_h)+p_theta*IF(u_vel!I6&gt;0,(I6-H6),(J6-I6))/p_h)-v_vel!I6*((1-p_theta)*(I5-I7)/(2*p_h)+p_theta*IF(v_vel!I6&gt;0,(I6-I7),(I5-I6))/p_h)+p_nu*(J6+H6+I5+I7-4*I6)/p_h^2))</f>
        <v/>
      </c>
      <c r="J6" s="15">
        <f>IF(p_reset=1,0,J6+p_dt*(-u_vel!J6*((1-p_theta)*(K6-I6)/(2*p_h)+p_theta*IF(u_vel!J6&gt;0,(J6-I6),(K6-J6))/p_h)-v_vel!J6*((1-p_theta)*(J5-J7)/(2*p_h)+p_theta*IF(v_vel!J6&gt;0,(J6-J7),(J5-J6))/p_h)+p_nu*(K6+I6+J5+J7-4*J6)/p_h^2))</f>
        <v/>
      </c>
      <c r="K6" s="15">
        <f>IF(p_reset=1,0,K6+p_dt*(-u_vel!K6*((1-p_theta)*(L6-J6)/(2*p_h)+p_theta*IF(u_vel!K6&gt;0,(K6-J6),(L6-K6))/p_h)-v_vel!K6*((1-p_theta)*(K5-K7)/(2*p_h)+p_theta*IF(v_vel!K6&gt;0,(K6-K7),(K5-K6))/p_h)+p_nu*(L6+J6+K5+K7-4*K6)/p_h^2))</f>
        <v/>
      </c>
      <c r="L6" s="15">
        <f>IF(p_reset=1,0,L6+p_dt*(-u_vel!L6*((1-p_theta)*(M6-K6)/(2*p_h)+p_theta*IF(u_vel!L6&gt;0,(L6-K6),(M6-L6))/p_h)-v_vel!L6*((1-p_theta)*(L5-L7)/(2*p_h)+p_theta*IF(v_vel!L6&gt;0,(L6-L7),(L5-L6))/p_h)+p_nu*(M6+K6+L5+L7-4*L6)/p_h^2))</f>
        <v/>
      </c>
      <c r="M6" s="15">
        <f>IF(p_reset=1,0,M6+p_dt*(-u_vel!M6*((1-p_theta)*(N6-L6)/(2*p_h)+p_theta*IF(u_vel!M6&gt;0,(M6-L6),(N6-M6))/p_h)-v_vel!M6*((1-p_theta)*(M5-M7)/(2*p_h)+p_theta*IF(v_vel!M6&gt;0,(M6-M7),(M5-M6))/p_h)+p_nu*(N6+L6+M5+M7-4*M6)/p_h^2))</f>
        <v/>
      </c>
      <c r="N6" s="15">
        <f>IF(p_reset=1,0,N6+p_dt*(-u_vel!N6*((1-p_theta)*(O6-M6)/(2*p_h)+p_theta*IF(u_vel!N6&gt;0,(N6-M6),(O6-N6))/p_h)-v_vel!N6*((1-p_theta)*(N5-N7)/(2*p_h)+p_theta*IF(v_vel!N6&gt;0,(N6-N7),(N5-N6))/p_h)+p_nu*(O6+M6+N5+N7-4*N6)/p_h^2))</f>
        <v/>
      </c>
      <c r="O6" s="15">
        <f>IF(p_reset=1,0,O6+p_dt*(-u_vel!O6*((1-p_theta)*(P6-N6)/(2*p_h)+p_theta*IF(u_vel!O6&gt;0,(O6-N6),(P6-O6))/p_h)-v_vel!O6*((1-p_theta)*(O5-O7)/(2*p_h)+p_theta*IF(v_vel!O6&gt;0,(O6-O7),(O5-O6))/p_h)+p_nu*(P6+N6+O5+O7-4*O6)/p_h^2))</f>
        <v/>
      </c>
      <c r="P6" s="15">
        <f>IF(p_reset=1,0,P6+p_dt*(-u_vel!P6*((1-p_theta)*(Q6-O6)/(2*p_h)+p_theta*IF(u_vel!P6&gt;0,(P6-O6),(Q6-P6))/p_h)-v_vel!P6*((1-p_theta)*(P5-P7)/(2*p_h)+p_theta*IF(v_vel!P6&gt;0,(P6-P7),(P5-P6))/p_h)+p_nu*(Q6+O6+P5+P7-4*P6)/p_h^2))</f>
        <v/>
      </c>
      <c r="Q6" s="15">
        <f>IF(p_reset=1,0,Q6+p_dt*(-u_vel!Q6*((1-p_theta)*(R6-P6)/(2*p_h)+p_theta*IF(u_vel!Q6&gt;0,(Q6-P6),(R6-Q6))/p_h)-v_vel!Q6*((1-p_theta)*(Q5-Q7)/(2*p_h)+p_theta*IF(v_vel!Q6&gt;0,(Q6-Q7),(Q5-Q6))/p_h)+p_nu*(R6+P6+Q5+Q7-4*Q6)/p_h^2))</f>
        <v/>
      </c>
      <c r="R6" s="15">
        <f>IF(p_reset=1,0,R6+p_dt*(-u_vel!R6*((1-p_theta)*(S6-Q6)/(2*p_h)+p_theta*IF(u_vel!R6&gt;0,(R6-Q6),(S6-R6))/p_h)-v_vel!R6*((1-p_theta)*(R5-R7)/(2*p_h)+p_theta*IF(v_vel!R6&gt;0,(R6-R7),(R5-R6))/p_h)+p_nu*(S6+Q6+R5+R7-4*R6)/p_h^2))</f>
        <v/>
      </c>
      <c r="S6" s="15">
        <f>IF(p_reset=1,0,S6+p_dt*(-u_vel!S6*((1-p_theta)*(T6-R6)/(2*p_h)+p_theta*IF(u_vel!S6&gt;0,(S6-R6),(T6-S6))/p_h)-v_vel!S6*((1-p_theta)*(S5-S7)/(2*p_h)+p_theta*IF(v_vel!S6&gt;0,(S6-S7),(S5-S6))/p_h)+p_nu*(T6+R6+S5+S7-4*S6)/p_h^2))</f>
        <v/>
      </c>
      <c r="T6" s="15">
        <f>IF(p_reset=1,0,T6+p_dt*(-u_vel!T6*((1-p_theta)*(U6-S6)/(2*p_h)+p_theta*IF(u_vel!T6&gt;0,(T6-S6),(U6-T6))/p_h)-v_vel!T6*((1-p_theta)*(T5-T7)/(2*p_h)+p_theta*IF(v_vel!T6&gt;0,(T6-T7),(T5-T6))/p_h)+p_nu*(U6+S6+T5+T7-4*T6)/p_h^2))</f>
        <v/>
      </c>
      <c r="U6" s="15">
        <f>IF(p_reset=1,0,U6+p_dt*(-u_vel!U6*((1-p_theta)*(V6-T6)/(2*p_h)+p_theta*IF(u_vel!U6&gt;0,(U6-T6),(V6-U6))/p_h)-v_vel!U6*((1-p_theta)*(U5-U7)/(2*p_h)+p_theta*IF(v_vel!U6&gt;0,(U6-U7),(U5-U6))/p_h)+p_nu*(V6+T6+U5+U7-4*U6)/p_h^2))</f>
        <v/>
      </c>
      <c r="V6" s="15">
        <f>IF(p_reset=1,0,V6+p_dt*(-u_vel!V6*((1-p_theta)*(W6-U6)/(2*p_h)+p_theta*IF(u_vel!V6&gt;0,(V6-U6),(W6-V6))/p_h)-v_vel!V6*((1-p_theta)*(V5-V7)/(2*p_h)+p_theta*IF(v_vel!V6&gt;0,(V6-V7),(V5-V6))/p_h)+p_nu*(W6+U6+V5+V7-4*V6)/p_h^2))</f>
        <v/>
      </c>
      <c r="W6" s="15">
        <f>IF(p_reset=1,0,W6+p_dt*(-u_vel!W6*((1-p_theta)*(X6-V6)/(2*p_h)+p_theta*IF(u_vel!W6&gt;0,(W6-V6),(X6-W6))/p_h)-v_vel!W6*((1-p_theta)*(W5-W7)/(2*p_h)+p_theta*IF(v_vel!W6&gt;0,(W6-W7),(W5-W6))/p_h)+p_nu*(X6+V6+W5+W7-4*W6)/p_h^2))</f>
        <v/>
      </c>
      <c r="X6" s="15">
        <f>IF(p_reset=1,0,X6+p_dt*(-u_vel!X6*((1-p_theta)*(Y6-W6)/(2*p_h)+p_theta*IF(u_vel!X6&gt;0,(X6-W6),(Y6-X6))/p_h)-v_vel!X6*((1-p_theta)*(X5-X7)/(2*p_h)+p_theta*IF(v_vel!X6&gt;0,(X6-X7),(X5-X6))/p_h)+p_nu*(Y6+W6+X5+X7-4*X6)/p_h^2))</f>
        <v/>
      </c>
      <c r="Y6" s="15">
        <f>IF(p_reset=1,0,Y6+p_dt*(-u_vel!Y6*((1-p_theta)*(Z6-X6)/(2*p_h)+p_theta*IF(u_vel!Y6&gt;0,(Y6-X6),(Z6-Y6))/p_h)-v_vel!Y6*((1-p_theta)*(Y5-Y7)/(2*p_h)+p_theta*IF(v_vel!Y6&gt;0,(Y6-Y7),(Y5-Y6))/p_h)+p_nu*(Z6+X6+Y5+Y7-4*Y6)/p_h^2))</f>
        <v/>
      </c>
      <c r="Z6" s="15">
        <f>IF(p_reset=1,0,Z6+p_dt*(-u_vel!Z6*((1-p_theta)*(AA6-Y6)/(2*p_h)+p_theta*IF(u_vel!Z6&gt;0,(Z6-Y6),(AA6-Z6))/p_h)-v_vel!Z6*((1-p_theta)*(Z5-Z7)/(2*p_h)+p_theta*IF(v_vel!Z6&gt;0,(Z6-Z7),(Z5-Z6))/p_h)+p_nu*(AA6+Y6+Z5+Z7-4*Z6)/p_h^2))</f>
        <v/>
      </c>
      <c r="AA6" s="15">
        <f>IF(p_reset=1,0,AA6+p_dt*(-u_vel!AA6*((1-p_theta)*(AB6-Z6)/(2*p_h)+p_theta*IF(u_vel!AA6&gt;0,(AA6-Z6),(AB6-AA6))/p_h)-v_vel!AA6*((1-p_theta)*(AA5-AA7)/(2*p_h)+p_theta*IF(v_vel!AA6&gt;0,(AA6-AA7),(AA5-AA6))/p_h)+p_nu*(AB6+Z6+AA5+AA7-4*AA6)/p_h^2))</f>
        <v/>
      </c>
      <c r="AB6" s="15">
        <f>IF(p_reset=1,0,AB6+p_dt*(-u_vel!AB6*((1-p_theta)*(AC6-AA6)/(2*p_h)+p_theta*IF(u_vel!AB6&gt;0,(AB6-AA6),(AC6-AB6))/p_h)-v_vel!AB6*((1-p_theta)*(AB5-AB7)/(2*p_h)+p_theta*IF(v_vel!AB6&gt;0,(AB6-AB7),(AB5-AB6))/p_h)+p_nu*(AC6+AA6+AB5+AB7-4*AB6)/p_h^2))</f>
        <v/>
      </c>
      <c r="AC6" s="15">
        <f>IF(p_reset=1,0,AC6+p_dt*(-u_vel!AC6*((1-p_theta)*(AD6-AB6)/(2*p_h)+p_theta*IF(u_vel!AC6&gt;0,(AC6-AB6),(AD6-AC6))/p_h)-v_vel!AC6*((1-p_theta)*(AC5-AC7)/(2*p_h)+p_theta*IF(v_vel!AC6&gt;0,(AC6-AC7),(AC5-AC6))/p_h)+p_nu*(AD6+AB6+AC5+AC7-4*AC6)/p_h^2))</f>
        <v/>
      </c>
      <c r="AD6" s="15">
        <f>IF(p_reset=1,0,AD6+p_dt*(-u_vel!AD6*((1-p_theta)*(AE6-AC6)/(2*p_h)+p_theta*IF(u_vel!AD6&gt;0,(AD6-AC6),(AE6-AD6))/p_h)-v_vel!AD6*((1-p_theta)*(AD5-AD7)/(2*p_h)+p_theta*IF(v_vel!AD6&gt;0,(AD6-AD7),(AD5-AD6))/p_h)+p_nu*(AE6+AC6+AD5+AD7-4*AD6)/p_h^2))</f>
        <v/>
      </c>
      <c r="AE6" s="15">
        <f>IF(p_reset=1,0,AE6+p_dt*(-u_vel!AE6*((1-p_theta)*(AF6-AD6)/(2*p_h)+p_theta*IF(u_vel!AE6&gt;0,(AE6-AD6),(AF6-AE6))/p_h)-v_vel!AE6*((1-p_theta)*(AE5-AE7)/(2*p_h)+p_theta*IF(v_vel!AE6&gt;0,(AE6-AE7),(AE5-AE6))/p_h)+p_nu*(AF6+AD6+AE5+AE7-4*AE6)/p_h^2))</f>
        <v/>
      </c>
      <c r="AF6" s="15">
        <f>IF(p_reset=1,0,AF6+p_dt*(-u_vel!AF6*((1-p_theta)*(AG6-AE6)/(2*p_h)+p_theta*IF(u_vel!AF6&gt;0,(AF6-AE6),(AG6-AF6))/p_h)-v_vel!AF6*((1-p_theta)*(AF5-AF7)/(2*p_h)+p_theta*IF(v_vel!AF6&gt;0,(AF6-AF7),(AF5-AF6))/p_h)+p_nu*(AG6+AE6+AF5+AF7-4*AF6)/p_h^2))</f>
        <v/>
      </c>
      <c r="AG6" s="15">
        <f>IF(p_reset=1,0,AG6+p_dt*(-u_vel!AG6*((1-p_theta)*(AH6-AF6)/(2*p_h)+p_theta*IF(u_vel!AG6&gt;0,(AG6-AF6),(AH6-AG6))/p_h)-v_vel!AG6*((1-p_theta)*(AG5-AG7)/(2*p_h)+p_theta*IF(v_vel!AG6&gt;0,(AG6-AG7),(AG5-AG6))/p_h)+p_nu*(AH6+AF6+AG5+AG7-4*AG6)/p_h^2))</f>
        <v/>
      </c>
      <c r="AH6" s="15">
        <f>-2*Psi!AG6/p_h^2</f>
        <v/>
      </c>
    </row>
    <row r="7">
      <c r="A7" s="7">
        <f>A6-p_h</f>
        <v/>
      </c>
      <c r="B7" s="15">
        <f>-2*Psi!C7/p_h^2</f>
        <v/>
      </c>
      <c r="C7" s="15">
        <f>IF(p_reset=1,0,C7+p_dt*(-u_vel!C7*((1-p_theta)*(D7-B7)/(2*p_h)+p_theta*IF(u_vel!C7&gt;0,(C7-B7),(D7-C7))/p_h)-v_vel!C7*((1-p_theta)*(C6-C8)/(2*p_h)+p_theta*IF(v_vel!C7&gt;0,(C7-C8),(C6-C7))/p_h)+p_nu*(D7+B7+C6+C8-4*C7)/p_h^2))</f>
        <v/>
      </c>
      <c r="D7" s="15">
        <f>IF(p_reset=1,0,D7+p_dt*(-u_vel!D7*((1-p_theta)*(E7-C7)/(2*p_h)+p_theta*IF(u_vel!D7&gt;0,(D7-C7),(E7-D7))/p_h)-v_vel!D7*((1-p_theta)*(D6-D8)/(2*p_h)+p_theta*IF(v_vel!D7&gt;0,(D7-D8),(D6-D7))/p_h)+p_nu*(E7+C7+D6+D8-4*D7)/p_h^2))</f>
        <v/>
      </c>
      <c r="E7" s="15">
        <f>IF(p_reset=1,0,E7+p_dt*(-u_vel!E7*((1-p_theta)*(F7-D7)/(2*p_h)+p_theta*IF(u_vel!E7&gt;0,(E7-D7),(F7-E7))/p_h)-v_vel!E7*((1-p_theta)*(E6-E8)/(2*p_h)+p_theta*IF(v_vel!E7&gt;0,(E7-E8),(E6-E7))/p_h)+p_nu*(F7+D7+E6+E8-4*E7)/p_h^2))</f>
        <v/>
      </c>
      <c r="F7" s="15">
        <f>IF(p_reset=1,0,F7+p_dt*(-u_vel!F7*((1-p_theta)*(G7-E7)/(2*p_h)+p_theta*IF(u_vel!F7&gt;0,(F7-E7),(G7-F7))/p_h)-v_vel!F7*((1-p_theta)*(F6-F8)/(2*p_h)+p_theta*IF(v_vel!F7&gt;0,(F7-F8),(F6-F7))/p_h)+p_nu*(G7+E7+F6+F8-4*F7)/p_h^2))</f>
        <v/>
      </c>
      <c r="G7" s="15">
        <f>IF(p_reset=1,0,G7+p_dt*(-u_vel!G7*((1-p_theta)*(H7-F7)/(2*p_h)+p_theta*IF(u_vel!G7&gt;0,(G7-F7),(H7-G7))/p_h)-v_vel!G7*((1-p_theta)*(G6-G8)/(2*p_h)+p_theta*IF(v_vel!G7&gt;0,(G7-G8),(G6-G7))/p_h)+p_nu*(H7+F7+G6+G8-4*G7)/p_h^2))</f>
        <v/>
      </c>
      <c r="H7" s="15">
        <f>IF(p_reset=1,0,H7+p_dt*(-u_vel!H7*((1-p_theta)*(I7-G7)/(2*p_h)+p_theta*IF(u_vel!H7&gt;0,(H7-G7),(I7-H7))/p_h)-v_vel!H7*((1-p_theta)*(H6-H8)/(2*p_h)+p_theta*IF(v_vel!H7&gt;0,(H7-H8),(H6-H7))/p_h)+p_nu*(I7+G7+H6+H8-4*H7)/p_h^2))</f>
        <v/>
      </c>
      <c r="I7" s="15">
        <f>IF(p_reset=1,0,I7+p_dt*(-u_vel!I7*((1-p_theta)*(J7-H7)/(2*p_h)+p_theta*IF(u_vel!I7&gt;0,(I7-H7),(J7-I7))/p_h)-v_vel!I7*((1-p_theta)*(I6-I8)/(2*p_h)+p_theta*IF(v_vel!I7&gt;0,(I7-I8),(I6-I7))/p_h)+p_nu*(J7+H7+I6+I8-4*I7)/p_h^2))</f>
        <v/>
      </c>
      <c r="J7" s="15">
        <f>IF(p_reset=1,0,J7+p_dt*(-u_vel!J7*((1-p_theta)*(K7-I7)/(2*p_h)+p_theta*IF(u_vel!J7&gt;0,(J7-I7),(K7-J7))/p_h)-v_vel!J7*((1-p_theta)*(J6-J8)/(2*p_h)+p_theta*IF(v_vel!J7&gt;0,(J7-J8),(J6-J7))/p_h)+p_nu*(K7+I7+J6+J8-4*J7)/p_h^2))</f>
        <v/>
      </c>
      <c r="K7" s="15">
        <f>IF(p_reset=1,0,K7+p_dt*(-u_vel!K7*((1-p_theta)*(L7-J7)/(2*p_h)+p_theta*IF(u_vel!K7&gt;0,(K7-J7),(L7-K7))/p_h)-v_vel!K7*((1-p_theta)*(K6-K8)/(2*p_h)+p_theta*IF(v_vel!K7&gt;0,(K7-K8),(K6-K7))/p_h)+p_nu*(L7+J7+K6+K8-4*K7)/p_h^2))</f>
        <v/>
      </c>
      <c r="L7" s="15">
        <f>IF(p_reset=1,0,L7+p_dt*(-u_vel!L7*((1-p_theta)*(M7-K7)/(2*p_h)+p_theta*IF(u_vel!L7&gt;0,(L7-K7),(M7-L7))/p_h)-v_vel!L7*((1-p_theta)*(L6-L8)/(2*p_h)+p_theta*IF(v_vel!L7&gt;0,(L7-L8),(L6-L7))/p_h)+p_nu*(M7+K7+L6+L8-4*L7)/p_h^2))</f>
        <v/>
      </c>
      <c r="M7" s="15">
        <f>IF(p_reset=1,0,M7+p_dt*(-u_vel!M7*((1-p_theta)*(N7-L7)/(2*p_h)+p_theta*IF(u_vel!M7&gt;0,(M7-L7),(N7-M7))/p_h)-v_vel!M7*((1-p_theta)*(M6-M8)/(2*p_h)+p_theta*IF(v_vel!M7&gt;0,(M7-M8),(M6-M7))/p_h)+p_nu*(N7+L7+M6+M8-4*M7)/p_h^2))</f>
        <v/>
      </c>
      <c r="N7" s="15">
        <f>IF(p_reset=1,0,N7+p_dt*(-u_vel!N7*((1-p_theta)*(O7-M7)/(2*p_h)+p_theta*IF(u_vel!N7&gt;0,(N7-M7),(O7-N7))/p_h)-v_vel!N7*((1-p_theta)*(N6-N8)/(2*p_h)+p_theta*IF(v_vel!N7&gt;0,(N7-N8),(N6-N7))/p_h)+p_nu*(O7+M7+N6+N8-4*N7)/p_h^2))</f>
        <v/>
      </c>
      <c r="O7" s="15">
        <f>IF(p_reset=1,0,O7+p_dt*(-u_vel!O7*((1-p_theta)*(P7-N7)/(2*p_h)+p_theta*IF(u_vel!O7&gt;0,(O7-N7),(P7-O7))/p_h)-v_vel!O7*((1-p_theta)*(O6-O8)/(2*p_h)+p_theta*IF(v_vel!O7&gt;0,(O7-O8),(O6-O7))/p_h)+p_nu*(P7+N7+O6+O8-4*O7)/p_h^2))</f>
        <v/>
      </c>
      <c r="P7" s="15">
        <f>IF(p_reset=1,0,P7+p_dt*(-u_vel!P7*((1-p_theta)*(Q7-O7)/(2*p_h)+p_theta*IF(u_vel!P7&gt;0,(P7-O7),(Q7-P7))/p_h)-v_vel!P7*((1-p_theta)*(P6-P8)/(2*p_h)+p_theta*IF(v_vel!P7&gt;0,(P7-P8),(P6-P7))/p_h)+p_nu*(Q7+O7+P6+P8-4*P7)/p_h^2))</f>
        <v/>
      </c>
      <c r="Q7" s="15">
        <f>IF(p_reset=1,0,Q7+p_dt*(-u_vel!Q7*((1-p_theta)*(R7-P7)/(2*p_h)+p_theta*IF(u_vel!Q7&gt;0,(Q7-P7),(R7-Q7))/p_h)-v_vel!Q7*((1-p_theta)*(Q6-Q8)/(2*p_h)+p_theta*IF(v_vel!Q7&gt;0,(Q7-Q8),(Q6-Q7))/p_h)+p_nu*(R7+P7+Q6+Q8-4*Q7)/p_h^2))</f>
        <v/>
      </c>
      <c r="R7" s="15">
        <f>IF(p_reset=1,0,R7+p_dt*(-u_vel!R7*((1-p_theta)*(S7-Q7)/(2*p_h)+p_theta*IF(u_vel!R7&gt;0,(R7-Q7),(S7-R7))/p_h)-v_vel!R7*((1-p_theta)*(R6-R8)/(2*p_h)+p_theta*IF(v_vel!R7&gt;0,(R7-R8),(R6-R7))/p_h)+p_nu*(S7+Q7+R6+R8-4*R7)/p_h^2))</f>
        <v/>
      </c>
      <c r="S7" s="15">
        <f>IF(p_reset=1,0,S7+p_dt*(-u_vel!S7*((1-p_theta)*(T7-R7)/(2*p_h)+p_theta*IF(u_vel!S7&gt;0,(S7-R7),(T7-S7))/p_h)-v_vel!S7*((1-p_theta)*(S6-S8)/(2*p_h)+p_theta*IF(v_vel!S7&gt;0,(S7-S8),(S6-S7))/p_h)+p_nu*(T7+R7+S6+S8-4*S7)/p_h^2))</f>
        <v/>
      </c>
      <c r="T7" s="15">
        <f>IF(p_reset=1,0,T7+p_dt*(-u_vel!T7*((1-p_theta)*(U7-S7)/(2*p_h)+p_theta*IF(u_vel!T7&gt;0,(T7-S7),(U7-T7))/p_h)-v_vel!T7*((1-p_theta)*(T6-T8)/(2*p_h)+p_theta*IF(v_vel!T7&gt;0,(T7-T8),(T6-T7))/p_h)+p_nu*(U7+S7+T6+T8-4*T7)/p_h^2))</f>
        <v/>
      </c>
      <c r="U7" s="15">
        <f>IF(p_reset=1,0,U7+p_dt*(-u_vel!U7*((1-p_theta)*(V7-T7)/(2*p_h)+p_theta*IF(u_vel!U7&gt;0,(U7-T7),(V7-U7))/p_h)-v_vel!U7*((1-p_theta)*(U6-U8)/(2*p_h)+p_theta*IF(v_vel!U7&gt;0,(U7-U8),(U6-U7))/p_h)+p_nu*(V7+T7+U6+U8-4*U7)/p_h^2))</f>
        <v/>
      </c>
      <c r="V7" s="15">
        <f>IF(p_reset=1,0,V7+p_dt*(-u_vel!V7*((1-p_theta)*(W7-U7)/(2*p_h)+p_theta*IF(u_vel!V7&gt;0,(V7-U7),(W7-V7))/p_h)-v_vel!V7*((1-p_theta)*(V6-V8)/(2*p_h)+p_theta*IF(v_vel!V7&gt;0,(V7-V8),(V6-V7))/p_h)+p_nu*(W7+U7+V6+V8-4*V7)/p_h^2))</f>
        <v/>
      </c>
      <c r="W7" s="15">
        <f>IF(p_reset=1,0,W7+p_dt*(-u_vel!W7*((1-p_theta)*(X7-V7)/(2*p_h)+p_theta*IF(u_vel!W7&gt;0,(W7-V7),(X7-W7))/p_h)-v_vel!W7*((1-p_theta)*(W6-W8)/(2*p_h)+p_theta*IF(v_vel!W7&gt;0,(W7-W8),(W6-W7))/p_h)+p_nu*(X7+V7+W6+W8-4*W7)/p_h^2))</f>
        <v/>
      </c>
      <c r="X7" s="15">
        <f>IF(p_reset=1,0,X7+p_dt*(-u_vel!X7*((1-p_theta)*(Y7-W7)/(2*p_h)+p_theta*IF(u_vel!X7&gt;0,(X7-W7),(Y7-X7))/p_h)-v_vel!X7*((1-p_theta)*(X6-X8)/(2*p_h)+p_theta*IF(v_vel!X7&gt;0,(X7-X8),(X6-X7))/p_h)+p_nu*(Y7+W7+X6+X8-4*X7)/p_h^2))</f>
        <v/>
      </c>
      <c r="Y7" s="15">
        <f>IF(p_reset=1,0,Y7+p_dt*(-u_vel!Y7*((1-p_theta)*(Z7-X7)/(2*p_h)+p_theta*IF(u_vel!Y7&gt;0,(Y7-X7),(Z7-Y7))/p_h)-v_vel!Y7*((1-p_theta)*(Y6-Y8)/(2*p_h)+p_theta*IF(v_vel!Y7&gt;0,(Y7-Y8),(Y6-Y7))/p_h)+p_nu*(Z7+X7+Y6+Y8-4*Y7)/p_h^2))</f>
        <v/>
      </c>
      <c r="Z7" s="15">
        <f>IF(p_reset=1,0,Z7+p_dt*(-u_vel!Z7*((1-p_theta)*(AA7-Y7)/(2*p_h)+p_theta*IF(u_vel!Z7&gt;0,(Z7-Y7),(AA7-Z7))/p_h)-v_vel!Z7*((1-p_theta)*(Z6-Z8)/(2*p_h)+p_theta*IF(v_vel!Z7&gt;0,(Z7-Z8),(Z6-Z7))/p_h)+p_nu*(AA7+Y7+Z6+Z8-4*Z7)/p_h^2))</f>
        <v/>
      </c>
      <c r="AA7" s="15">
        <f>IF(p_reset=1,0,AA7+p_dt*(-u_vel!AA7*((1-p_theta)*(AB7-Z7)/(2*p_h)+p_theta*IF(u_vel!AA7&gt;0,(AA7-Z7),(AB7-AA7))/p_h)-v_vel!AA7*((1-p_theta)*(AA6-AA8)/(2*p_h)+p_theta*IF(v_vel!AA7&gt;0,(AA7-AA8),(AA6-AA7))/p_h)+p_nu*(AB7+Z7+AA6+AA8-4*AA7)/p_h^2))</f>
        <v/>
      </c>
      <c r="AB7" s="15">
        <f>IF(p_reset=1,0,AB7+p_dt*(-u_vel!AB7*((1-p_theta)*(AC7-AA7)/(2*p_h)+p_theta*IF(u_vel!AB7&gt;0,(AB7-AA7),(AC7-AB7))/p_h)-v_vel!AB7*((1-p_theta)*(AB6-AB8)/(2*p_h)+p_theta*IF(v_vel!AB7&gt;0,(AB7-AB8),(AB6-AB7))/p_h)+p_nu*(AC7+AA7+AB6+AB8-4*AB7)/p_h^2))</f>
        <v/>
      </c>
      <c r="AC7" s="15">
        <f>IF(p_reset=1,0,AC7+p_dt*(-u_vel!AC7*((1-p_theta)*(AD7-AB7)/(2*p_h)+p_theta*IF(u_vel!AC7&gt;0,(AC7-AB7),(AD7-AC7))/p_h)-v_vel!AC7*((1-p_theta)*(AC6-AC8)/(2*p_h)+p_theta*IF(v_vel!AC7&gt;0,(AC7-AC8),(AC6-AC7))/p_h)+p_nu*(AD7+AB7+AC6+AC8-4*AC7)/p_h^2))</f>
        <v/>
      </c>
      <c r="AD7" s="15">
        <f>IF(p_reset=1,0,AD7+p_dt*(-u_vel!AD7*((1-p_theta)*(AE7-AC7)/(2*p_h)+p_theta*IF(u_vel!AD7&gt;0,(AD7-AC7),(AE7-AD7))/p_h)-v_vel!AD7*((1-p_theta)*(AD6-AD8)/(2*p_h)+p_theta*IF(v_vel!AD7&gt;0,(AD7-AD8),(AD6-AD7))/p_h)+p_nu*(AE7+AC7+AD6+AD8-4*AD7)/p_h^2))</f>
        <v/>
      </c>
      <c r="AE7" s="15">
        <f>IF(p_reset=1,0,AE7+p_dt*(-u_vel!AE7*((1-p_theta)*(AF7-AD7)/(2*p_h)+p_theta*IF(u_vel!AE7&gt;0,(AE7-AD7),(AF7-AE7))/p_h)-v_vel!AE7*((1-p_theta)*(AE6-AE8)/(2*p_h)+p_theta*IF(v_vel!AE7&gt;0,(AE7-AE8),(AE6-AE7))/p_h)+p_nu*(AF7+AD7+AE6+AE8-4*AE7)/p_h^2))</f>
        <v/>
      </c>
      <c r="AF7" s="15">
        <f>IF(p_reset=1,0,AF7+p_dt*(-u_vel!AF7*((1-p_theta)*(AG7-AE7)/(2*p_h)+p_theta*IF(u_vel!AF7&gt;0,(AF7-AE7),(AG7-AF7))/p_h)-v_vel!AF7*((1-p_theta)*(AF6-AF8)/(2*p_h)+p_theta*IF(v_vel!AF7&gt;0,(AF7-AF8),(AF6-AF7))/p_h)+p_nu*(AG7+AE7+AF6+AF8-4*AF7)/p_h^2))</f>
        <v/>
      </c>
      <c r="AG7" s="15">
        <f>IF(p_reset=1,0,AG7+p_dt*(-u_vel!AG7*((1-p_theta)*(AH7-AF7)/(2*p_h)+p_theta*IF(u_vel!AG7&gt;0,(AG7-AF7),(AH7-AG7))/p_h)-v_vel!AG7*((1-p_theta)*(AG6-AG8)/(2*p_h)+p_theta*IF(v_vel!AG7&gt;0,(AG7-AG8),(AG6-AG7))/p_h)+p_nu*(AH7+AF7+AG6+AG8-4*AG7)/p_h^2))</f>
        <v/>
      </c>
      <c r="AH7" s="15">
        <f>-2*Psi!AG7/p_h^2</f>
        <v/>
      </c>
    </row>
    <row r="8">
      <c r="A8" s="7">
        <f>A7-p_h</f>
        <v/>
      </c>
      <c r="B8" s="15">
        <f>-2*Psi!C8/p_h^2</f>
        <v/>
      </c>
      <c r="C8" s="15">
        <f>IF(p_reset=1,0,C8+p_dt*(-u_vel!C8*((1-p_theta)*(D8-B8)/(2*p_h)+p_theta*IF(u_vel!C8&gt;0,(C8-B8),(D8-C8))/p_h)-v_vel!C8*((1-p_theta)*(C7-C9)/(2*p_h)+p_theta*IF(v_vel!C8&gt;0,(C8-C9),(C7-C8))/p_h)+p_nu*(D8+B8+C7+C9-4*C8)/p_h^2))</f>
        <v/>
      </c>
      <c r="D8" s="15">
        <f>IF(p_reset=1,0,D8+p_dt*(-u_vel!D8*((1-p_theta)*(E8-C8)/(2*p_h)+p_theta*IF(u_vel!D8&gt;0,(D8-C8),(E8-D8))/p_h)-v_vel!D8*((1-p_theta)*(D7-D9)/(2*p_h)+p_theta*IF(v_vel!D8&gt;0,(D8-D9),(D7-D8))/p_h)+p_nu*(E8+C8+D7+D9-4*D8)/p_h^2))</f>
        <v/>
      </c>
      <c r="E8" s="15">
        <f>IF(p_reset=1,0,E8+p_dt*(-u_vel!E8*((1-p_theta)*(F8-D8)/(2*p_h)+p_theta*IF(u_vel!E8&gt;0,(E8-D8),(F8-E8))/p_h)-v_vel!E8*((1-p_theta)*(E7-E9)/(2*p_h)+p_theta*IF(v_vel!E8&gt;0,(E8-E9),(E7-E8))/p_h)+p_nu*(F8+D8+E7+E9-4*E8)/p_h^2))</f>
        <v/>
      </c>
      <c r="F8" s="15">
        <f>IF(p_reset=1,0,F8+p_dt*(-u_vel!F8*((1-p_theta)*(G8-E8)/(2*p_h)+p_theta*IF(u_vel!F8&gt;0,(F8-E8),(G8-F8))/p_h)-v_vel!F8*((1-p_theta)*(F7-F9)/(2*p_h)+p_theta*IF(v_vel!F8&gt;0,(F8-F9),(F7-F8))/p_h)+p_nu*(G8+E8+F7+F9-4*F8)/p_h^2))</f>
        <v/>
      </c>
      <c r="G8" s="15">
        <f>IF(p_reset=1,0,G8+p_dt*(-u_vel!G8*((1-p_theta)*(H8-F8)/(2*p_h)+p_theta*IF(u_vel!G8&gt;0,(G8-F8),(H8-G8))/p_h)-v_vel!G8*((1-p_theta)*(G7-G9)/(2*p_h)+p_theta*IF(v_vel!G8&gt;0,(G8-G9),(G7-G8))/p_h)+p_nu*(H8+F8+G7+G9-4*G8)/p_h^2))</f>
        <v/>
      </c>
      <c r="H8" s="15">
        <f>IF(p_reset=1,0,H8+p_dt*(-u_vel!H8*((1-p_theta)*(I8-G8)/(2*p_h)+p_theta*IF(u_vel!H8&gt;0,(H8-G8),(I8-H8))/p_h)-v_vel!H8*((1-p_theta)*(H7-H9)/(2*p_h)+p_theta*IF(v_vel!H8&gt;0,(H8-H9),(H7-H8))/p_h)+p_nu*(I8+G8+H7+H9-4*H8)/p_h^2))</f>
        <v/>
      </c>
      <c r="I8" s="15">
        <f>IF(p_reset=1,0,I8+p_dt*(-u_vel!I8*((1-p_theta)*(J8-H8)/(2*p_h)+p_theta*IF(u_vel!I8&gt;0,(I8-H8),(J8-I8))/p_h)-v_vel!I8*((1-p_theta)*(I7-I9)/(2*p_h)+p_theta*IF(v_vel!I8&gt;0,(I8-I9),(I7-I8))/p_h)+p_nu*(J8+H8+I7+I9-4*I8)/p_h^2))</f>
        <v/>
      </c>
      <c r="J8" s="15">
        <f>IF(p_reset=1,0,J8+p_dt*(-u_vel!J8*((1-p_theta)*(K8-I8)/(2*p_h)+p_theta*IF(u_vel!J8&gt;0,(J8-I8),(K8-J8))/p_h)-v_vel!J8*((1-p_theta)*(J7-J9)/(2*p_h)+p_theta*IF(v_vel!J8&gt;0,(J8-J9),(J7-J8))/p_h)+p_nu*(K8+I8+J7+J9-4*J8)/p_h^2))</f>
        <v/>
      </c>
      <c r="K8" s="15">
        <f>IF(p_reset=1,0,K8+p_dt*(-u_vel!K8*((1-p_theta)*(L8-J8)/(2*p_h)+p_theta*IF(u_vel!K8&gt;0,(K8-J8),(L8-K8))/p_h)-v_vel!K8*((1-p_theta)*(K7-K9)/(2*p_h)+p_theta*IF(v_vel!K8&gt;0,(K8-K9),(K7-K8))/p_h)+p_nu*(L8+J8+K7+K9-4*K8)/p_h^2))</f>
        <v/>
      </c>
      <c r="L8" s="15">
        <f>IF(p_reset=1,0,L8+p_dt*(-u_vel!L8*((1-p_theta)*(M8-K8)/(2*p_h)+p_theta*IF(u_vel!L8&gt;0,(L8-K8),(M8-L8))/p_h)-v_vel!L8*((1-p_theta)*(L7-L9)/(2*p_h)+p_theta*IF(v_vel!L8&gt;0,(L8-L9),(L7-L8))/p_h)+p_nu*(M8+K8+L7+L9-4*L8)/p_h^2))</f>
        <v/>
      </c>
      <c r="M8" s="15">
        <f>IF(p_reset=1,0,M8+p_dt*(-u_vel!M8*((1-p_theta)*(N8-L8)/(2*p_h)+p_theta*IF(u_vel!M8&gt;0,(M8-L8),(N8-M8))/p_h)-v_vel!M8*((1-p_theta)*(M7-M9)/(2*p_h)+p_theta*IF(v_vel!M8&gt;0,(M8-M9),(M7-M8))/p_h)+p_nu*(N8+L8+M7+M9-4*M8)/p_h^2))</f>
        <v/>
      </c>
      <c r="N8" s="15">
        <f>IF(p_reset=1,0,N8+p_dt*(-u_vel!N8*((1-p_theta)*(O8-M8)/(2*p_h)+p_theta*IF(u_vel!N8&gt;0,(N8-M8),(O8-N8))/p_h)-v_vel!N8*((1-p_theta)*(N7-N9)/(2*p_h)+p_theta*IF(v_vel!N8&gt;0,(N8-N9),(N7-N8))/p_h)+p_nu*(O8+M8+N7+N9-4*N8)/p_h^2))</f>
        <v/>
      </c>
      <c r="O8" s="15">
        <f>IF(p_reset=1,0,O8+p_dt*(-u_vel!O8*((1-p_theta)*(P8-N8)/(2*p_h)+p_theta*IF(u_vel!O8&gt;0,(O8-N8),(P8-O8))/p_h)-v_vel!O8*((1-p_theta)*(O7-O9)/(2*p_h)+p_theta*IF(v_vel!O8&gt;0,(O8-O9),(O7-O8))/p_h)+p_nu*(P8+N8+O7+O9-4*O8)/p_h^2))</f>
        <v/>
      </c>
      <c r="P8" s="15">
        <f>IF(p_reset=1,0,P8+p_dt*(-u_vel!P8*((1-p_theta)*(Q8-O8)/(2*p_h)+p_theta*IF(u_vel!P8&gt;0,(P8-O8),(Q8-P8))/p_h)-v_vel!P8*((1-p_theta)*(P7-P9)/(2*p_h)+p_theta*IF(v_vel!P8&gt;0,(P8-P9),(P7-P8))/p_h)+p_nu*(Q8+O8+P7+P9-4*P8)/p_h^2))</f>
        <v/>
      </c>
      <c r="Q8" s="15">
        <f>IF(p_reset=1,0,Q8+p_dt*(-u_vel!Q8*((1-p_theta)*(R8-P8)/(2*p_h)+p_theta*IF(u_vel!Q8&gt;0,(Q8-P8),(R8-Q8))/p_h)-v_vel!Q8*((1-p_theta)*(Q7-Q9)/(2*p_h)+p_theta*IF(v_vel!Q8&gt;0,(Q8-Q9),(Q7-Q8))/p_h)+p_nu*(R8+P8+Q7+Q9-4*Q8)/p_h^2))</f>
        <v/>
      </c>
      <c r="R8" s="15">
        <f>IF(p_reset=1,0,R8+p_dt*(-u_vel!R8*((1-p_theta)*(S8-Q8)/(2*p_h)+p_theta*IF(u_vel!R8&gt;0,(R8-Q8),(S8-R8))/p_h)-v_vel!R8*((1-p_theta)*(R7-R9)/(2*p_h)+p_theta*IF(v_vel!R8&gt;0,(R8-R9),(R7-R8))/p_h)+p_nu*(S8+Q8+R7+R9-4*R8)/p_h^2))</f>
        <v/>
      </c>
      <c r="S8" s="15">
        <f>IF(p_reset=1,0,S8+p_dt*(-u_vel!S8*((1-p_theta)*(T8-R8)/(2*p_h)+p_theta*IF(u_vel!S8&gt;0,(S8-R8),(T8-S8))/p_h)-v_vel!S8*((1-p_theta)*(S7-S9)/(2*p_h)+p_theta*IF(v_vel!S8&gt;0,(S8-S9),(S7-S8))/p_h)+p_nu*(T8+R8+S7+S9-4*S8)/p_h^2))</f>
        <v/>
      </c>
      <c r="T8" s="15">
        <f>IF(p_reset=1,0,T8+p_dt*(-u_vel!T8*((1-p_theta)*(U8-S8)/(2*p_h)+p_theta*IF(u_vel!T8&gt;0,(T8-S8),(U8-T8))/p_h)-v_vel!T8*((1-p_theta)*(T7-T9)/(2*p_h)+p_theta*IF(v_vel!T8&gt;0,(T8-T9),(T7-T8))/p_h)+p_nu*(U8+S8+T7+T9-4*T8)/p_h^2))</f>
        <v/>
      </c>
      <c r="U8" s="15">
        <f>IF(p_reset=1,0,U8+p_dt*(-u_vel!U8*((1-p_theta)*(V8-T8)/(2*p_h)+p_theta*IF(u_vel!U8&gt;0,(U8-T8),(V8-U8))/p_h)-v_vel!U8*((1-p_theta)*(U7-U9)/(2*p_h)+p_theta*IF(v_vel!U8&gt;0,(U8-U9),(U7-U8))/p_h)+p_nu*(V8+T8+U7+U9-4*U8)/p_h^2))</f>
        <v/>
      </c>
      <c r="V8" s="15">
        <f>IF(p_reset=1,0,V8+p_dt*(-u_vel!V8*((1-p_theta)*(W8-U8)/(2*p_h)+p_theta*IF(u_vel!V8&gt;0,(V8-U8),(W8-V8))/p_h)-v_vel!V8*((1-p_theta)*(V7-V9)/(2*p_h)+p_theta*IF(v_vel!V8&gt;0,(V8-V9),(V7-V8))/p_h)+p_nu*(W8+U8+V7+V9-4*V8)/p_h^2))</f>
        <v/>
      </c>
      <c r="W8" s="15">
        <f>IF(p_reset=1,0,W8+p_dt*(-u_vel!W8*((1-p_theta)*(X8-V8)/(2*p_h)+p_theta*IF(u_vel!W8&gt;0,(W8-V8),(X8-W8))/p_h)-v_vel!W8*((1-p_theta)*(W7-W9)/(2*p_h)+p_theta*IF(v_vel!W8&gt;0,(W8-W9),(W7-W8))/p_h)+p_nu*(X8+V8+W7+W9-4*W8)/p_h^2))</f>
        <v/>
      </c>
      <c r="X8" s="15">
        <f>IF(p_reset=1,0,X8+p_dt*(-u_vel!X8*((1-p_theta)*(Y8-W8)/(2*p_h)+p_theta*IF(u_vel!X8&gt;0,(X8-W8),(Y8-X8))/p_h)-v_vel!X8*((1-p_theta)*(X7-X9)/(2*p_h)+p_theta*IF(v_vel!X8&gt;0,(X8-X9),(X7-X8))/p_h)+p_nu*(Y8+W8+X7+X9-4*X8)/p_h^2))</f>
        <v/>
      </c>
      <c r="Y8" s="15">
        <f>IF(p_reset=1,0,Y8+p_dt*(-u_vel!Y8*((1-p_theta)*(Z8-X8)/(2*p_h)+p_theta*IF(u_vel!Y8&gt;0,(Y8-X8),(Z8-Y8))/p_h)-v_vel!Y8*((1-p_theta)*(Y7-Y9)/(2*p_h)+p_theta*IF(v_vel!Y8&gt;0,(Y8-Y9),(Y7-Y8))/p_h)+p_nu*(Z8+X8+Y7+Y9-4*Y8)/p_h^2))</f>
        <v/>
      </c>
      <c r="Z8" s="15">
        <f>IF(p_reset=1,0,Z8+p_dt*(-u_vel!Z8*((1-p_theta)*(AA8-Y8)/(2*p_h)+p_theta*IF(u_vel!Z8&gt;0,(Z8-Y8),(AA8-Z8))/p_h)-v_vel!Z8*((1-p_theta)*(Z7-Z9)/(2*p_h)+p_theta*IF(v_vel!Z8&gt;0,(Z8-Z9),(Z7-Z8))/p_h)+p_nu*(AA8+Y8+Z7+Z9-4*Z8)/p_h^2))</f>
        <v/>
      </c>
      <c r="AA8" s="15">
        <f>IF(p_reset=1,0,AA8+p_dt*(-u_vel!AA8*((1-p_theta)*(AB8-Z8)/(2*p_h)+p_theta*IF(u_vel!AA8&gt;0,(AA8-Z8),(AB8-AA8))/p_h)-v_vel!AA8*((1-p_theta)*(AA7-AA9)/(2*p_h)+p_theta*IF(v_vel!AA8&gt;0,(AA8-AA9),(AA7-AA8))/p_h)+p_nu*(AB8+Z8+AA7+AA9-4*AA8)/p_h^2))</f>
        <v/>
      </c>
      <c r="AB8" s="15">
        <f>IF(p_reset=1,0,AB8+p_dt*(-u_vel!AB8*((1-p_theta)*(AC8-AA8)/(2*p_h)+p_theta*IF(u_vel!AB8&gt;0,(AB8-AA8),(AC8-AB8))/p_h)-v_vel!AB8*((1-p_theta)*(AB7-AB9)/(2*p_h)+p_theta*IF(v_vel!AB8&gt;0,(AB8-AB9),(AB7-AB8))/p_h)+p_nu*(AC8+AA8+AB7+AB9-4*AB8)/p_h^2))</f>
        <v/>
      </c>
      <c r="AC8" s="15">
        <f>IF(p_reset=1,0,AC8+p_dt*(-u_vel!AC8*((1-p_theta)*(AD8-AB8)/(2*p_h)+p_theta*IF(u_vel!AC8&gt;0,(AC8-AB8),(AD8-AC8))/p_h)-v_vel!AC8*((1-p_theta)*(AC7-AC9)/(2*p_h)+p_theta*IF(v_vel!AC8&gt;0,(AC8-AC9),(AC7-AC8))/p_h)+p_nu*(AD8+AB8+AC7+AC9-4*AC8)/p_h^2))</f>
        <v/>
      </c>
      <c r="AD8" s="15">
        <f>IF(p_reset=1,0,AD8+p_dt*(-u_vel!AD8*((1-p_theta)*(AE8-AC8)/(2*p_h)+p_theta*IF(u_vel!AD8&gt;0,(AD8-AC8),(AE8-AD8))/p_h)-v_vel!AD8*((1-p_theta)*(AD7-AD9)/(2*p_h)+p_theta*IF(v_vel!AD8&gt;0,(AD8-AD9),(AD7-AD8))/p_h)+p_nu*(AE8+AC8+AD7+AD9-4*AD8)/p_h^2))</f>
        <v/>
      </c>
      <c r="AE8" s="15">
        <f>IF(p_reset=1,0,AE8+p_dt*(-u_vel!AE8*((1-p_theta)*(AF8-AD8)/(2*p_h)+p_theta*IF(u_vel!AE8&gt;0,(AE8-AD8),(AF8-AE8))/p_h)-v_vel!AE8*((1-p_theta)*(AE7-AE9)/(2*p_h)+p_theta*IF(v_vel!AE8&gt;0,(AE8-AE9),(AE7-AE8))/p_h)+p_nu*(AF8+AD8+AE7+AE9-4*AE8)/p_h^2))</f>
        <v/>
      </c>
      <c r="AF8" s="15">
        <f>IF(p_reset=1,0,AF8+p_dt*(-u_vel!AF8*((1-p_theta)*(AG8-AE8)/(2*p_h)+p_theta*IF(u_vel!AF8&gt;0,(AF8-AE8),(AG8-AF8))/p_h)-v_vel!AF8*((1-p_theta)*(AF7-AF9)/(2*p_h)+p_theta*IF(v_vel!AF8&gt;0,(AF8-AF9),(AF7-AF8))/p_h)+p_nu*(AG8+AE8+AF7+AF9-4*AF8)/p_h^2))</f>
        <v/>
      </c>
      <c r="AG8" s="15">
        <f>IF(p_reset=1,0,AG8+p_dt*(-u_vel!AG8*((1-p_theta)*(AH8-AF8)/(2*p_h)+p_theta*IF(u_vel!AG8&gt;0,(AG8-AF8),(AH8-AG8))/p_h)-v_vel!AG8*((1-p_theta)*(AG7-AG9)/(2*p_h)+p_theta*IF(v_vel!AG8&gt;0,(AG8-AG9),(AG7-AG8))/p_h)+p_nu*(AH8+AF8+AG7+AG9-4*AG8)/p_h^2))</f>
        <v/>
      </c>
      <c r="AH8" s="15">
        <f>-2*Psi!AG8/p_h^2</f>
        <v/>
      </c>
    </row>
    <row r="9">
      <c r="A9" s="7">
        <f>A8-p_h</f>
        <v/>
      </c>
      <c r="B9" s="15">
        <f>-2*Psi!C9/p_h^2</f>
        <v/>
      </c>
      <c r="C9" s="15">
        <f>IF(p_reset=1,0,C9+p_dt*(-u_vel!C9*((1-p_theta)*(D9-B9)/(2*p_h)+p_theta*IF(u_vel!C9&gt;0,(C9-B9),(D9-C9))/p_h)-v_vel!C9*((1-p_theta)*(C8-C10)/(2*p_h)+p_theta*IF(v_vel!C9&gt;0,(C9-C10),(C8-C9))/p_h)+p_nu*(D9+B9+C8+C10-4*C9)/p_h^2))</f>
        <v/>
      </c>
      <c r="D9" s="15">
        <f>IF(p_reset=1,0,D9+p_dt*(-u_vel!D9*((1-p_theta)*(E9-C9)/(2*p_h)+p_theta*IF(u_vel!D9&gt;0,(D9-C9),(E9-D9))/p_h)-v_vel!D9*((1-p_theta)*(D8-D10)/(2*p_h)+p_theta*IF(v_vel!D9&gt;0,(D9-D10),(D8-D9))/p_h)+p_nu*(E9+C9+D8+D10-4*D9)/p_h^2))</f>
        <v/>
      </c>
      <c r="E9" s="15">
        <f>IF(p_reset=1,0,E9+p_dt*(-u_vel!E9*((1-p_theta)*(F9-D9)/(2*p_h)+p_theta*IF(u_vel!E9&gt;0,(E9-D9),(F9-E9))/p_h)-v_vel!E9*((1-p_theta)*(E8-E10)/(2*p_h)+p_theta*IF(v_vel!E9&gt;0,(E9-E10),(E8-E9))/p_h)+p_nu*(F9+D9+E8+E10-4*E9)/p_h^2))</f>
        <v/>
      </c>
      <c r="F9" s="15">
        <f>IF(p_reset=1,0,F9+p_dt*(-u_vel!F9*((1-p_theta)*(G9-E9)/(2*p_h)+p_theta*IF(u_vel!F9&gt;0,(F9-E9),(G9-F9))/p_h)-v_vel!F9*((1-p_theta)*(F8-F10)/(2*p_h)+p_theta*IF(v_vel!F9&gt;0,(F9-F10),(F8-F9))/p_h)+p_nu*(G9+E9+F8+F10-4*F9)/p_h^2))</f>
        <v/>
      </c>
      <c r="G9" s="15">
        <f>IF(p_reset=1,0,G9+p_dt*(-u_vel!G9*((1-p_theta)*(H9-F9)/(2*p_h)+p_theta*IF(u_vel!G9&gt;0,(G9-F9),(H9-G9))/p_h)-v_vel!G9*((1-p_theta)*(G8-G10)/(2*p_h)+p_theta*IF(v_vel!G9&gt;0,(G9-G10),(G8-G9))/p_h)+p_nu*(H9+F9+G8+G10-4*G9)/p_h^2))</f>
        <v/>
      </c>
      <c r="H9" s="15">
        <f>IF(p_reset=1,0,H9+p_dt*(-u_vel!H9*((1-p_theta)*(I9-G9)/(2*p_h)+p_theta*IF(u_vel!H9&gt;0,(H9-G9),(I9-H9))/p_h)-v_vel!H9*((1-p_theta)*(H8-H10)/(2*p_h)+p_theta*IF(v_vel!H9&gt;0,(H9-H10),(H8-H9))/p_h)+p_nu*(I9+G9+H8+H10-4*H9)/p_h^2))</f>
        <v/>
      </c>
      <c r="I9" s="15">
        <f>IF(p_reset=1,0,I9+p_dt*(-u_vel!I9*((1-p_theta)*(J9-H9)/(2*p_h)+p_theta*IF(u_vel!I9&gt;0,(I9-H9),(J9-I9))/p_h)-v_vel!I9*((1-p_theta)*(I8-I10)/(2*p_h)+p_theta*IF(v_vel!I9&gt;0,(I9-I10),(I8-I9))/p_h)+p_nu*(J9+H9+I8+I10-4*I9)/p_h^2))</f>
        <v/>
      </c>
      <c r="J9" s="15">
        <f>IF(p_reset=1,0,J9+p_dt*(-u_vel!J9*((1-p_theta)*(K9-I9)/(2*p_h)+p_theta*IF(u_vel!J9&gt;0,(J9-I9),(K9-J9))/p_h)-v_vel!J9*((1-p_theta)*(J8-J10)/(2*p_h)+p_theta*IF(v_vel!J9&gt;0,(J9-J10),(J8-J9))/p_h)+p_nu*(K9+I9+J8+J10-4*J9)/p_h^2))</f>
        <v/>
      </c>
      <c r="K9" s="15">
        <f>IF(p_reset=1,0,K9+p_dt*(-u_vel!K9*((1-p_theta)*(L9-J9)/(2*p_h)+p_theta*IF(u_vel!K9&gt;0,(K9-J9),(L9-K9))/p_h)-v_vel!K9*((1-p_theta)*(K8-K10)/(2*p_h)+p_theta*IF(v_vel!K9&gt;0,(K9-K10),(K8-K9))/p_h)+p_nu*(L9+J9+K8+K10-4*K9)/p_h^2))</f>
        <v/>
      </c>
      <c r="L9" s="15">
        <f>IF(p_reset=1,0,L9+p_dt*(-u_vel!L9*((1-p_theta)*(M9-K9)/(2*p_h)+p_theta*IF(u_vel!L9&gt;0,(L9-K9),(M9-L9))/p_h)-v_vel!L9*((1-p_theta)*(L8-L10)/(2*p_h)+p_theta*IF(v_vel!L9&gt;0,(L9-L10),(L8-L9))/p_h)+p_nu*(M9+K9+L8+L10-4*L9)/p_h^2))</f>
        <v/>
      </c>
      <c r="M9" s="15">
        <f>IF(p_reset=1,0,M9+p_dt*(-u_vel!M9*((1-p_theta)*(N9-L9)/(2*p_h)+p_theta*IF(u_vel!M9&gt;0,(M9-L9),(N9-M9))/p_h)-v_vel!M9*((1-p_theta)*(M8-M10)/(2*p_h)+p_theta*IF(v_vel!M9&gt;0,(M9-M10),(M8-M9))/p_h)+p_nu*(N9+L9+M8+M10-4*M9)/p_h^2))</f>
        <v/>
      </c>
      <c r="N9" s="15">
        <f>IF(p_reset=1,0,N9+p_dt*(-u_vel!N9*((1-p_theta)*(O9-M9)/(2*p_h)+p_theta*IF(u_vel!N9&gt;0,(N9-M9),(O9-N9))/p_h)-v_vel!N9*((1-p_theta)*(N8-N10)/(2*p_h)+p_theta*IF(v_vel!N9&gt;0,(N9-N10),(N8-N9))/p_h)+p_nu*(O9+M9+N8+N10-4*N9)/p_h^2))</f>
        <v/>
      </c>
      <c r="O9" s="15">
        <f>IF(p_reset=1,0,O9+p_dt*(-u_vel!O9*((1-p_theta)*(P9-N9)/(2*p_h)+p_theta*IF(u_vel!O9&gt;0,(O9-N9),(P9-O9))/p_h)-v_vel!O9*((1-p_theta)*(O8-O10)/(2*p_h)+p_theta*IF(v_vel!O9&gt;0,(O9-O10),(O8-O9))/p_h)+p_nu*(P9+N9+O8+O10-4*O9)/p_h^2))</f>
        <v/>
      </c>
      <c r="P9" s="15">
        <f>IF(p_reset=1,0,P9+p_dt*(-u_vel!P9*((1-p_theta)*(Q9-O9)/(2*p_h)+p_theta*IF(u_vel!P9&gt;0,(P9-O9),(Q9-P9))/p_h)-v_vel!P9*((1-p_theta)*(P8-P10)/(2*p_h)+p_theta*IF(v_vel!P9&gt;0,(P9-P10),(P8-P9))/p_h)+p_nu*(Q9+O9+P8+P10-4*P9)/p_h^2))</f>
        <v/>
      </c>
      <c r="Q9" s="15">
        <f>IF(p_reset=1,0,Q9+p_dt*(-u_vel!Q9*((1-p_theta)*(R9-P9)/(2*p_h)+p_theta*IF(u_vel!Q9&gt;0,(Q9-P9),(R9-Q9))/p_h)-v_vel!Q9*((1-p_theta)*(Q8-Q10)/(2*p_h)+p_theta*IF(v_vel!Q9&gt;0,(Q9-Q10),(Q8-Q9))/p_h)+p_nu*(R9+P9+Q8+Q10-4*Q9)/p_h^2))</f>
        <v/>
      </c>
      <c r="R9" s="15">
        <f>IF(p_reset=1,0,R9+p_dt*(-u_vel!R9*((1-p_theta)*(S9-Q9)/(2*p_h)+p_theta*IF(u_vel!R9&gt;0,(R9-Q9),(S9-R9))/p_h)-v_vel!R9*((1-p_theta)*(R8-R10)/(2*p_h)+p_theta*IF(v_vel!R9&gt;0,(R9-R10),(R8-R9))/p_h)+p_nu*(S9+Q9+R8+R10-4*R9)/p_h^2))</f>
        <v/>
      </c>
      <c r="S9" s="15">
        <f>IF(p_reset=1,0,S9+p_dt*(-u_vel!S9*((1-p_theta)*(T9-R9)/(2*p_h)+p_theta*IF(u_vel!S9&gt;0,(S9-R9),(T9-S9))/p_h)-v_vel!S9*((1-p_theta)*(S8-S10)/(2*p_h)+p_theta*IF(v_vel!S9&gt;0,(S9-S10),(S8-S9))/p_h)+p_nu*(T9+R9+S8+S10-4*S9)/p_h^2))</f>
        <v/>
      </c>
      <c r="T9" s="15">
        <f>IF(p_reset=1,0,T9+p_dt*(-u_vel!T9*((1-p_theta)*(U9-S9)/(2*p_h)+p_theta*IF(u_vel!T9&gt;0,(T9-S9),(U9-T9))/p_h)-v_vel!T9*((1-p_theta)*(T8-T10)/(2*p_h)+p_theta*IF(v_vel!T9&gt;0,(T9-T10),(T8-T9))/p_h)+p_nu*(U9+S9+T8+T10-4*T9)/p_h^2))</f>
        <v/>
      </c>
      <c r="U9" s="15">
        <f>IF(p_reset=1,0,U9+p_dt*(-u_vel!U9*((1-p_theta)*(V9-T9)/(2*p_h)+p_theta*IF(u_vel!U9&gt;0,(U9-T9),(V9-U9))/p_h)-v_vel!U9*((1-p_theta)*(U8-U10)/(2*p_h)+p_theta*IF(v_vel!U9&gt;0,(U9-U10),(U8-U9))/p_h)+p_nu*(V9+T9+U8+U10-4*U9)/p_h^2))</f>
        <v/>
      </c>
      <c r="V9" s="15">
        <f>IF(p_reset=1,0,V9+p_dt*(-u_vel!V9*((1-p_theta)*(W9-U9)/(2*p_h)+p_theta*IF(u_vel!V9&gt;0,(V9-U9),(W9-V9))/p_h)-v_vel!V9*((1-p_theta)*(V8-V10)/(2*p_h)+p_theta*IF(v_vel!V9&gt;0,(V9-V10),(V8-V9))/p_h)+p_nu*(W9+U9+V8+V10-4*V9)/p_h^2))</f>
        <v/>
      </c>
      <c r="W9" s="15">
        <f>IF(p_reset=1,0,W9+p_dt*(-u_vel!W9*((1-p_theta)*(X9-V9)/(2*p_h)+p_theta*IF(u_vel!W9&gt;0,(W9-V9),(X9-W9))/p_h)-v_vel!W9*((1-p_theta)*(W8-W10)/(2*p_h)+p_theta*IF(v_vel!W9&gt;0,(W9-W10),(W8-W9))/p_h)+p_nu*(X9+V9+W8+W10-4*W9)/p_h^2))</f>
        <v/>
      </c>
      <c r="X9" s="15">
        <f>IF(p_reset=1,0,X9+p_dt*(-u_vel!X9*((1-p_theta)*(Y9-W9)/(2*p_h)+p_theta*IF(u_vel!X9&gt;0,(X9-W9),(Y9-X9))/p_h)-v_vel!X9*((1-p_theta)*(X8-X10)/(2*p_h)+p_theta*IF(v_vel!X9&gt;0,(X9-X10),(X8-X9))/p_h)+p_nu*(Y9+W9+X8+X10-4*X9)/p_h^2))</f>
        <v/>
      </c>
      <c r="Y9" s="15">
        <f>IF(p_reset=1,0,Y9+p_dt*(-u_vel!Y9*((1-p_theta)*(Z9-X9)/(2*p_h)+p_theta*IF(u_vel!Y9&gt;0,(Y9-X9),(Z9-Y9))/p_h)-v_vel!Y9*((1-p_theta)*(Y8-Y10)/(2*p_h)+p_theta*IF(v_vel!Y9&gt;0,(Y9-Y10),(Y8-Y9))/p_h)+p_nu*(Z9+X9+Y8+Y10-4*Y9)/p_h^2))</f>
        <v/>
      </c>
      <c r="Z9" s="15">
        <f>IF(p_reset=1,0,Z9+p_dt*(-u_vel!Z9*((1-p_theta)*(AA9-Y9)/(2*p_h)+p_theta*IF(u_vel!Z9&gt;0,(Z9-Y9),(AA9-Z9))/p_h)-v_vel!Z9*((1-p_theta)*(Z8-Z10)/(2*p_h)+p_theta*IF(v_vel!Z9&gt;0,(Z9-Z10),(Z8-Z9))/p_h)+p_nu*(AA9+Y9+Z8+Z10-4*Z9)/p_h^2))</f>
        <v/>
      </c>
      <c r="AA9" s="15">
        <f>IF(p_reset=1,0,AA9+p_dt*(-u_vel!AA9*((1-p_theta)*(AB9-Z9)/(2*p_h)+p_theta*IF(u_vel!AA9&gt;0,(AA9-Z9),(AB9-AA9))/p_h)-v_vel!AA9*((1-p_theta)*(AA8-AA10)/(2*p_h)+p_theta*IF(v_vel!AA9&gt;0,(AA9-AA10),(AA8-AA9))/p_h)+p_nu*(AB9+Z9+AA8+AA10-4*AA9)/p_h^2))</f>
        <v/>
      </c>
      <c r="AB9" s="15">
        <f>IF(p_reset=1,0,AB9+p_dt*(-u_vel!AB9*((1-p_theta)*(AC9-AA9)/(2*p_h)+p_theta*IF(u_vel!AB9&gt;0,(AB9-AA9),(AC9-AB9))/p_h)-v_vel!AB9*((1-p_theta)*(AB8-AB10)/(2*p_h)+p_theta*IF(v_vel!AB9&gt;0,(AB9-AB10),(AB8-AB9))/p_h)+p_nu*(AC9+AA9+AB8+AB10-4*AB9)/p_h^2))</f>
        <v/>
      </c>
      <c r="AC9" s="15">
        <f>IF(p_reset=1,0,AC9+p_dt*(-u_vel!AC9*((1-p_theta)*(AD9-AB9)/(2*p_h)+p_theta*IF(u_vel!AC9&gt;0,(AC9-AB9),(AD9-AC9))/p_h)-v_vel!AC9*((1-p_theta)*(AC8-AC10)/(2*p_h)+p_theta*IF(v_vel!AC9&gt;0,(AC9-AC10),(AC8-AC9))/p_h)+p_nu*(AD9+AB9+AC8+AC10-4*AC9)/p_h^2))</f>
        <v/>
      </c>
      <c r="AD9" s="15">
        <f>IF(p_reset=1,0,AD9+p_dt*(-u_vel!AD9*((1-p_theta)*(AE9-AC9)/(2*p_h)+p_theta*IF(u_vel!AD9&gt;0,(AD9-AC9),(AE9-AD9))/p_h)-v_vel!AD9*((1-p_theta)*(AD8-AD10)/(2*p_h)+p_theta*IF(v_vel!AD9&gt;0,(AD9-AD10),(AD8-AD9))/p_h)+p_nu*(AE9+AC9+AD8+AD10-4*AD9)/p_h^2))</f>
        <v/>
      </c>
      <c r="AE9" s="15">
        <f>IF(p_reset=1,0,AE9+p_dt*(-u_vel!AE9*((1-p_theta)*(AF9-AD9)/(2*p_h)+p_theta*IF(u_vel!AE9&gt;0,(AE9-AD9),(AF9-AE9))/p_h)-v_vel!AE9*((1-p_theta)*(AE8-AE10)/(2*p_h)+p_theta*IF(v_vel!AE9&gt;0,(AE9-AE10),(AE8-AE9))/p_h)+p_nu*(AF9+AD9+AE8+AE10-4*AE9)/p_h^2))</f>
        <v/>
      </c>
      <c r="AF9" s="15">
        <f>IF(p_reset=1,0,AF9+p_dt*(-u_vel!AF9*((1-p_theta)*(AG9-AE9)/(2*p_h)+p_theta*IF(u_vel!AF9&gt;0,(AF9-AE9),(AG9-AF9))/p_h)-v_vel!AF9*((1-p_theta)*(AF8-AF10)/(2*p_h)+p_theta*IF(v_vel!AF9&gt;0,(AF9-AF10),(AF8-AF9))/p_h)+p_nu*(AG9+AE9+AF8+AF10-4*AF9)/p_h^2))</f>
        <v/>
      </c>
      <c r="AG9" s="15">
        <f>IF(p_reset=1,0,AG9+p_dt*(-u_vel!AG9*((1-p_theta)*(AH9-AF9)/(2*p_h)+p_theta*IF(u_vel!AG9&gt;0,(AG9-AF9),(AH9-AG9))/p_h)-v_vel!AG9*((1-p_theta)*(AG8-AG10)/(2*p_h)+p_theta*IF(v_vel!AG9&gt;0,(AG9-AG10),(AG8-AG9))/p_h)+p_nu*(AH9+AF9+AG8+AG10-4*AG9)/p_h^2))</f>
        <v/>
      </c>
      <c r="AH9" s="15">
        <f>-2*Psi!AG9/p_h^2</f>
        <v/>
      </c>
    </row>
    <row r="10">
      <c r="A10" s="7">
        <f>A9-p_h</f>
        <v/>
      </c>
      <c r="B10" s="15">
        <f>-2*Psi!C10/p_h^2</f>
        <v/>
      </c>
      <c r="C10" s="15">
        <f>IF(p_reset=1,0,C10+p_dt*(-u_vel!C10*((1-p_theta)*(D10-B10)/(2*p_h)+p_theta*IF(u_vel!C10&gt;0,(C10-B10),(D10-C10))/p_h)-v_vel!C10*((1-p_theta)*(C9-C11)/(2*p_h)+p_theta*IF(v_vel!C10&gt;0,(C10-C11),(C9-C10))/p_h)+p_nu*(D10+B10+C9+C11-4*C10)/p_h^2))</f>
        <v/>
      </c>
      <c r="D10" s="15">
        <f>IF(p_reset=1,0,D10+p_dt*(-u_vel!D10*((1-p_theta)*(E10-C10)/(2*p_h)+p_theta*IF(u_vel!D10&gt;0,(D10-C10),(E10-D10))/p_h)-v_vel!D10*((1-p_theta)*(D9-D11)/(2*p_h)+p_theta*IF(v_vel!D10&gt;0,(D10-D11),(D9-D10))/p_h)+p_nu*(E10+C10+D9+D11-4*D10)/p_h^2))</f>
        <v/>
      </c>
      <c r="E10" s="15">
        <f>IF(p_reset=1,0,E10+p_dt*(-u_vel!E10*((1-p_theta)*(F10-D10)/(2*p_h)+p_theta*IF(u_vel!E10&gt;0,(E10-D10),(F10-E10))/p_h)-v_vel!E10*((1-p_theta)*(E9-E11)/(2*p_h)+p_theta*IF(v_vel!E10&gt;0,(E10-E11),(E9-E10))/p_h)+p_nu*(F10+D10+E9+E11-4*E10)/p_h^2))</f>
        <v/>
      </c>
      <c r="F10" s="15">
        <f>IF(p_reset=1,0,F10+p_dt*(-u_vel!F10*((1-p_theta)*(G10-E10)/(2*p_h)+p_theta*IF(u_vel!F10&gt;0,(F10-E10),(G10-F10))/p_h)-v_vel!F10*((1-p_theta)*(F9-F11)/(2*p_h)+p_theta*IF(v_vel!F10&gt;0,(F10-F11),(F9-F10))/p_h)+p_nu*(G10+E10+F9+F11-4*F10)/p_h^2))</f>
        <v/>
      </c>
      <c r="G10" s="15">
        <f>IF(p_reset=1,0,G10+p_dt*(-u_vel!G10*((1-p_theta)*(H10-F10)/(2*p_h)+p_theta*IF(u_vel!G10&gt;0,(G10-F10),(H10-G10))/p_h)-v_vel!G10*((1-p_theta)*(G9-G11)/(2*p_h)+p_theta*IF(v_vel!G10&gt;0,(G10-G11),(G9-G10))/p_h)+p_nu*(H10+F10+G9+G11-4*G10)/p_h^2))</f>
        <v/>
      </c>
      <c r="H10" s="15">
        <f>IF(p_reset=1,0,H10+p_dt*(-u_vel!H10*((1-p_theta)*(I10-G10)/(2*p_h)+p_theta*IF(u_vel!H10&gt;0,(H10-G10),(I10-H10))/p_h)-v_vel!H10*((1-p_theta)*(H9-H11)/(2*p_h)+p_theta*IF(v_vel!H10&gt;0,(H10-H11),(H9-H10))/p_h)+p_nu*(I10+G10+H9+H11-4*H10)/p_h^2))</f>
        <v/>
      </c>
      <c r="I10" s="15">
        <f>IF(p_reset=1,0,I10+p_dt*(-u_vel!I10*((1-p_theta)*(J10-H10)/(2*p_h)+p_theta*IF(u_vel!I10&gt;0,(I10-H10),(J10-I10))/p_h)-v_vel!I10*((1-p_theta)*(I9-I11)/(2*p_h)+p_theta*IF(v_vel!I10&gt;0,(I10-I11),(I9-I10))/p_h)+p_nu*(J10+H10+I9+I11-4*I10)/p_h^2))</f>
        <v/>
      </c>
      <c r="J10" s="15">
        <f>IF(p_reset=1,0,J10+p_dt*(-u_vel!J10*((1-p_theta)*(K10-I10)/(2*p_h)+p_theta*IF(u_vel!J10&gt;0,(J10-I10),(K10-J10))/p_h)-v_vel!J10*((1-p_theta)*(J9-J11)/(2*p_h)+p_theta*IF(v_vel!J10&gt;0,(J10-J11),(J9-J10))/p_h)+p_nu*(K10+I10+J9+J11-4*J10)/p_h^2))</f>
        <v/>
      </c>
      <c r="K10" s="15">
        <f>IF(p_reset=1,0,K10+p_dt*(-u_vel!K10*((1-p_theta)*(L10-J10)/(2*p_h)+p_theta*IF(u_vel!K10&gt;0,(K10-J10),(L10-K10))/p_h)-v_vel!K10*((1-p_theta)*(K9-K11)/(2*p_h)+p_theta*IF(v_vel!K10&gt;0,(K10-K11),(K9-K10))/p_h)+p_nu*(L10+J10+K9+K11-4*K10)/p_h^2))</f>
        <v/>
      </c>
      <c r="L10" s="15">
        <f>IF(p_reset=1,0,L10+p_dt*(-u_vel!L10*((1-p_theta)*(M10-K10)/(2*p_h)+p_theta*IF(u_vel!L10&gt;0,(L10-K10),(M10-L10))/p_h)-v_vel!L10*((1-p_theta)*(L9-L11)/(2*p_h)+p_theta*IF(v_vel!L10&gt;0,(L10-L11),(L9-L10))/p_h)+p_nu*(M10+K10+L9+L11-4*L10)/p_h^2))</f>
        <v/>
      </c>
      <c r="M10" s="15">
        <f>IF(p_reset=1,0,M10+p_dt*(-u_vel!M10*((1-p_theta)*(N10-L10)/(2*p_h)+p_theta*IF(u_vel!M10&gt;0,(M10-L10),(N10-M10))/p_h)-v_vel!M10*((1-p_theta)*(M9-M11)/(2*p_h)+p_theta*IF(v_vel!M10&gt;0,(M10-M11),(M9-M10))/p_h)+p_nu*(N10+L10+M9+M11-4*M10)/p_h^2))</f>
        <v/>
      </c>
      <c r="N10" s="15">
        <f>IF(p_reset=1,0,N10+p_dt*(-u_vel!N10*((1-p_theta)*(O10-M10)/(2*p_h)+p_theta*IF(u_vel!N10&gt;0,(N10-M10),(O10-N10))/p_h)-v_vel!N10*((1-p_theta)*(N9-N11)/(2*p_h)+p_theta*IF(v_vel!N10&gt;0,(N10-N11),(N9-N10))/p_h)+p_nu*(O10+M10+N9+N11-4*N10)/p_h^2))</f>
        <v/>
      </c>
      <c r="O10" s="15">
        <f>IF(p_reset=1,0,O10+p_dt*(-u_vel!O10*((1-p_theta)*(P10-N10)/(2*p_h)+p_theta*IF(u_vel!O10&gt;0,(O10-N10),(P10-O10))/p_h)-v_vel!O10*((1-p_theta)*(O9-O11)/(2*p_h)+p_theta*IF(v_vel!O10&gt;0,(O10-O11),(O9-O10))/p_h)+p_nu*(P10+N10+O9+O11-4*O10)/p_h^2))</f>
        <v/>
      </c>
      <c r="P10" s="15">
        <f>IF(p_reset=1,0,P10+p_dt*(-u_vel!P10*((1-p_theta)*(Q10-O10)/(2*p_h)+p_theta*IF(u_vel!P10&gt;0,(P10-O10),(Q10-P10))/p_h)-v_vel!P10*((1-p_theta)*(P9-P11)/(2*p_h)+p_theta*IF(v_vel!P10&gt;0,(P10-P11),(P9-P10))/p_h)+p_nu*(Q10+O10+P9+P11-4*P10)/p_h^2))</f>
        <v/>
      </c>
      <c r="Q10" s="15">
        <f>IF(p_reset=1,0,Q10+p_dt*(-u_vel!Q10*((1-p_theta)*(R10-P10)/(2*p_h)+p_theta*IF(u_vel!Q10&gt;0,(Q10-P10),(R10-Q10))/p_h)-v_vel!Q10*((1-p_theta)*(Q9-Q11)/(2*p_h)+p_theta*IF(v_vel!Q10&gt;0,(Q10-Q11),(Q9-Q10))/p_h)+p_nu*(R10+P10+Q9+Q11-4*Q10)/p_h^2))</f>
        <v/>
      </c>
      <c r="R10" s="15">
        <f>IF(p_reset=1,0,R10+p_dt*(-u_vel!R10*((1-p_theta)*(S10-Q10)/(2*p_h)+p_theta*IF(u_vel!R10&gt;0,(R10-Q10),(S10-R10))/p_h)-v_vel!R10*((1-p_theta)*(R9-R11)/(2*p_h)+p_theta*IF(v_vel!R10&gt;0,(R10-R11),(R9-R10))/p_h)+p_nu*(S10+Q10+R9+R11-4*R10)/p_h^2))</f>
        <v/>
      </c>
      <c r="S10" s="15">
        <f>IF(p_reset=1,0,S10+p_dt*(-u_vel!S10*((1-p_theta)*(T10-R10)/(2*p_h)+p_theta*IF(u_vel!S10&gt;0,(S10-R10),(T10-S10))/p_h)-v_vel!S10*((1-p_theta)*(S9-S11)/(2*p_h)+p_theta*IF(v_vel!S10&gt;0,(S10-S11),(S9-S10))/p_h)+p_nu*(T10+R10+S9+S11-4*S10)/p_h^2))</f>
        <v/>
      </c>
      <c r="T10" s="15">
        <f>IF(p_reset=1,0,T10+p_dt*(-u_vel!T10*((1-p_theta)*(U10-S10)/(2*p_h)+p_theta*IF(u_vel!T10&gt;0,(T10-S10),(U10-T10))/p_h)-v_vel!T10*((1-p_theta)*(T9-T11)/(2*p_h)+p_theta*IF(v_vel!T10&gt;0,(T10-T11),(T9-T10))/p_h)+p_nu*(U10+S10+T9+T11-4*T10)/p_h^2))</f>
        <v/>
      </c>
      <c r="U10" s="15">
        <f>IF(p_reset=1,0,U10+p_dt*(-u_vel!U10*((1-p_theta)*(V10-T10)/(2*p_h)+p_theta*IF(u_vel!U10&gt;0,(U10-T10),(V10-U10))/p_h)-v_vel!U10*((1-p_theta)*(U9-U11)/(2*p_h)+p_theta*IF(v_vel!U10&gt;0,(U10-U11),(U9-U10))/p_h)+p_nu*(V10+T10+U9+U11-4*U10)/p_h^2))</f>
        <v/>
      </c>
      <c r="V10" s="15">
        <f>IF(p_reset=1,0,V10+p_dt*(-u_vel!V10*((1-p_theta)*(W10-U10)/(2*p_h)+p_theta*IF(u_vel!V10&gt;0,(V10-U10),(W10-V10))/p_h)-v_vel!V10*((1-p_theta)*(V9-V11)/(2*p_h)+p_theta*IF(v_vel!V10&gt;0,(V10-V11),(V9-V10))/p_h)+p_nu*(W10+U10+V9+V11-4*V10)/p_h^2))</f>
        <v/>
      </c>
      <c r="W10" s="15">
        <f>IF(p_reset=1,0,W10+p_dt*(-u_vel!W10*((1-p_theta)*(X10-V10)/(2*p_h)+p_theta*IF(u_vel!W10&gt;0,(W10-V10),(X10-W10))/p_h)-v_vel!W10*((1-p_theta)*(W9-W11)/(2*p_h)+p_theta*IF(v_vel!W10&gt;0,(W10-W11),(W9-W10))/p_h)+p_nu*(X10+V10+W9+W11-4*W10)/p_h^2))</f>
        <v/>
      </c>
      <c r="X10" s="15">
        <f>IF(p_reset=1,0,X10+p_dt*(-u_vel!X10*((1-p_theta)*(Y10-W10)/(2*p_h)+p_theta*IF(u_vel!X10&gt;0,(X10-W10),(Y10-X10))/p_h)-v_vel!X10*((1-p_theta)*(X9-X11)/(2*p_h)+p_theta*IF(v_vel!X10&gt;0,(X10-X11),(X9-X10))/p_h)+p_nu*(Y10+W10+X9+X11-4*X10)/p_h^2))</f>
        <v/>
      </c>
      <c r="Y10" s="15">
        <f>IF(p_reset=1,0,Y10+p_dt*(-u_vel!Y10*((1-p_theta)*(Z10-X10)/(2*p_h)+p_theta*IF(u_vel!Y10&gt;0,(Y10-X10),(Z10-Y10))/p_h)-v_vel!Y10*((1-p_theta)*(Y9-Y11)/(2*p_h)+p_theta*IF(v_vel!Y10&gt;0,(Y10-Y11),(Y9-Y10))/p_h)+p_nu*(Z10+X10+Y9+Y11-4*Y10)/p_h^2))</f>
        <v/>
      </c>
      <c r="Z10" s="15">
        <f>IF(p_reset=1,0,Z10+p_dt*(-u_vel!Z10*((1-p_theta)*(AA10-Y10)/(2*p_h)+p_theta*IF(u_vel!Z10&gt;0,(Z10-Y10),(AA10-Z10))/p_h)-v_vel!Z10*((1-p_theta)*(Z9-Z11)/(2*p_h)+p_theta*IF(v_vel!Z10&gt;0,(Z10-Z11),(Z9-Z10))/p_h)+p_nu*(AA10+Y10+Z9+Z11-4*Z10)/p_h^2))</f>
        <v/>
      </c>
      <c r="AA10" s="15">
        <f>IF(p_reset=1,0,AA10+p_dt*(-u_vel!AA10*((1-p_theta)*(AB10-Z10)/(2*p_h)+p_theta*IF(u_vel!AA10&gt;0,(AA10-Z10),(AB10-AA10))/p_h)-v_vel!AA10*((1-p_theta)*(AA9-AA11)/(2*p_h)+p_theta*IF(v_vel!AA10&gt;0,(AA10-AA11),(AA9-AA10))/p_h)+p_nu*(AB10+Z10+AA9+AA11-4*AA10)/p_h^2))</f>
        <v/>
      </c>
      <c r="AB10" s="15">
        <f>IF(p_reset=1,0,AB10+p_dt*(-u_vel!AB10*((1-p_theta)*(AC10-AA10)/(2*p_h)+p_theta*IF(u_vel!AB10&gt;0,(AB10-AA10),(AC10-AB10))/p_h)-v_vel!AB10*((1-p_theta)*(AB9-AB11)/(2*p_h)+p_theta*IF(v_vel!AB10&gt;0,(AB10-AB11),(AB9-AB10))/p_h)+p_nu*(AC10+AA10+AB9+AB11-4*AB10)/p_h^2))</f>
        <v/>
      </c>
      <c r="AC10" s="15">
        <f>IF(p_reset=1,0,AC10+p_dt*(-u_vel!AC10*((1-p_theta)*(AD10-AB10)/(2*p_h)+p_theta*IF(u_vel!AC10&gt;0,(AC10-AB10),(AD10-AC10))/p_h)-v_vel!AC10*((1-p_theta)*(AC9-AC11)/(2*p_h)+p_theta*IF(v_vel!AC10&gt;0,(AC10-AC11),(AC9-AC10))/p_h)+p_nu*(AD10+AB10+AC9+AC11-4*AC10)/p_h^2))</f>
        <v/>
      </c>
      <c r="AD10" s="15">
        <f>IF(p_reset=1,0,AD10+p_dt*(-u_vel!AD10*((1-p_theta)*(AE10-AC10)/(2*p_h)+p_theta*IF(u_vel!AD10&gt;0,(AD10-AC10),(AE10-AD10))/p_h)-v_vel!AD10*((1-p_theta)*(AD9-AD11)/(2*p_h)+p_theta*IF(v_vel!AD10&gt;0,(AD10-AD11),(AD9-AD10))/p_h)+p_nu*(AE10+AC10+AD9+AD11-4*AD10)/p_h^2))</f>
        <v/>
      </c>
      <c r="AE10" s="15">
        <f>IF(p_reset=1,0,AE10+p_dt*(-u_vel!AE10*((1-p_theta)*(AF10-AD10)/(2*p_h)+p_theta*IF(u_vel!AE10&gt;0,(AE10-AD10),(AF10-AE10))/p_h)-v_vel!AE10*((1-p_theta)*(AE9-AE11)/(2*p_h)+p_theta*IF(v_vel!AE10&gt;0,(AE10-AE11),(AE9-AE10))/p_h)+p_nu*(AF10+AD10+AE9+AE11-4*AE10)/p_h^2))</f>
        <v/>
      </c>
      <c r="AF10" s="15">
        <f>IF(p_reset=1,0,AF10+p_dt*(-u_vel!AF10*((1-p_theta)*(AG10-AE10)/(2*p_h)+p_theta*IF(u_vel!AF10&gt;0,(AF10-AE10),(AG10-AF10))/p_h)-v_vel!AF10*((1-p_theta)*(AF9-AF11)/(2*p_h)+p_theta*IF(v_vel!AF10&gt;0,(AF10-AF11),(AF9-AF10))/p_h)+p_nu*(AG10+AE10+AF9+AF11-4*AF10)/p_h^2))</f>
        <v/>
      </c>
      <c r="AG10" s="15">
        <f>IF(p_reset=1,0,AG10+p_dt*(-u_vel!AG10*((1-p_theta)*(AH10-AF10)/(2*p_h)+p_theta*IF(u_vel!AG10&gt;0,(AG10-AF10),(AH10-AG10))/p_h)-v_vel!AG10*((1-p_theta)*(AG9-AG11)/(2*p_h)+p_theta*IF(v_vel!AG10&gt;0,(AG10-AG11),(AG9-AG10))/p_h)+p_nu*(AH10+AF10+AG9+AG11-4*AG10)/p_h^2))</f>
        <v/>
      </c>
      <c r="AH10" s="15">
        <f>-2*Psi!AG10/p_h^2</f>
        <v/>
      </c>
    </row>
    <row r="11">
      <c r="A11" s="7">
        <f>A10-p_h</f>
        <v/>
      </c>
      <c r="B11" s="15">
        <f>-2*Psi!C11/p_h^2</f>
        <v/>
      </c>
      <c r="C11" s="15">
        <f>IF(p_reset=1,0,C11+p_dt*(-u_vel!C11*((1-p_theta)*(D11-B11)/(2*p_h)+p_theta*IF(u_vel!C11&gt;0,(C11-B11),(D11-C11))/p_h)-v_vel!C11*((1-p_theta)*(C10-C12)/(2*p_h)+p_theta*IF(v_vel!C11&gt;0,(C11-C12),(C10-C11))/p_h)+p_nu*(D11+B11+C10+C12-4*C11)/p_h^2))</f>
        <v/>
      </c>
      <c r="D11" s="15">
        <f>IF(p_reset=1,0,D11+p_dt*(-u_vel!D11*((1-p_theta)*(E11-C11)/(2*p_h)+p_theta*IF(u_vel!D11&gt;0,(D11-C11),(E11-D11))/p_h)-v_vel!D11*((1-p_theta)*(D10-D12)/(2*p_h)+p_theta*IF(v_vel!D11&gt;0,(D11-D12),(D10-D11))/p_h)+p_nu*(E11+C11+D10+D12-4*D11)/p_h^2))</f>
        <v/>
      </c>
      <c r="E11" s="15">
        <f>IF(p_reset=1,0,E11+p_dt*(-u_vel!E11*((1-p_theta)*(F11-D11)/(2*p_h)+p_theta*IF(u_vel!E11&gt;0,(E11-D11),(F11-E11))/p_h)-v_vel!E11*((1-p_theta)*(E10-E12)/(2*p_h)+p_theta*IF(v_vel!E11&gt;0,(E11-E12),(E10-E11))/p_h)+p_nu*(F11+D11+E10+E12-4*E11)/p_h^2))</f>
        <v/>
      </c>
      <c r="F11" s="15">
        <f>IF(p_reset=1,0,F11+p_dt*(-u_vel!F11*((1-p_theta)*(G11-E11)/(2*p_h)+p_theta*IF(u_vel!F11&gt;0,(F11-E11),(G11-F11))/p_h)-v_vel!F11*((1-p_theta)*(F10-F12)/(2*p_h)+p_theta*IF(v_vel!F11&gt;0,(F11-F12),(F10-F11))/p_h)+p_nu*(G11+E11+F10+F12-4*F11)/p_h^2))</f>
        <v/>
      </c>
      <c r="G11" s="15">
        <f>IF(p_reset=1,0,G11+p_dt*(-u_vel!G11*((1-p_theta)*(H11-F11)/(2*p_h)+p_theta*IF(u_vel!G11&gt;0,(G11-F11),(H11-G11))/p_h)-v_vel!G11*((1-p_theta)*(G10-G12)/(2*p_h)+p_theta*IF(v_vel!G11&gt;0,(G11-G12),(G10-G11))/p_h)+p_nu*(H11+F11+G10+G12-4*G11)/p_h^2))</f>
        <v/>
      </c>
      <c r="H11" s="15">
        <f>IF(p_reset=1,0,H11+p_dt*(-u_vel!H11*((1-p_theta)*(I11-G11)/(2*p_h)+p_theta*IF(u_vel!H11&gt;0,(H11-G11),(I11-H11))/p_h)-v_vel!H11*((1-p_theta)*(H10-H12)/(2*p_h)+p_theta*IF(v_vel!H11&gt;0,(H11-H12),(H10-H11))/p_h)+p_nu*(I11+G11+H10+H12-4*H11)/p_h^2))</f>
        <v/>
      </c>
      <c r="I11" s="15">
        <f>IF(p_reset=1,0,I11+p_dt*(-u_vel!I11*((1-p_theta)*(J11-H11)/(2*p_h)+p_theta*IF(u_vel!I11&gt;0,(I11-H11),(J11-I11))/p_h)-v_vel!I11*((1-p_theta)*(I10-I12)/(2*p_h)+p_theta*IF(v_vel!I11&gt;0,(I11-I12),(I10-I11))/p_h)+p_nu*(J11+H11+I10+I12-4*I11)/p_h^2))</f>
        <v/>
      </c>
      <c r="J11" s="15">
        <f>IF(p_reset=1,0,J11+p_dt*(-u_vel!J11*((1-p_theta)*(K11-I11)/(2*p_h)+p_theta*IF(u_vel!J11&gt;0,(J11-I11),(K11-J11))/p_h)-v_vel!J11*((1-p_theta)*(J10-J12)/(2*p_h)+p_theta*IF(v_vel!J11&gt;0,(J11-J12),(J10-J11))/p_h)+p_nu*(K11+I11+J10+J12-4*J11)/p_h^2))</f>
        <v/>
      </c>
      <c r="K11" s="15">
        <f>IF(p_reset=1,0,K11+p_dt*(-u_vel!K11*((1-p_theta)*(L11-J11)/(2*p_h)+p_theta*IF(u_vel!K11&gt;0,(K11-J11),(L11-K11))/p_h)-v_vel!K11*((1-p_theta)*(K10-K12)/(2*p_h)+p_theta*IF(v_vel!K11&gt;0,(K11-K12),(K10-K11))/p_h)+p_nu*(L11+J11+K10+K12-4*K11)/p_h^2))</f>
        <v/>
      </c>
      <c r="L11" s="15">
        <f>IF(p_reset=1,0,L11+p_dt*(-u_vel!L11*((1-p_theta)*(M11-K11)/(2*p_h)+p_theta*IF(u_vel!L11&gt;0,(L11-K11),(M11-L11))/p_h)-v_vel!L11*((1-p_theta)*(L10-L12)/(2*p_h)+p_theta*IF(v_vel!L11&gt;0,(L11-L12),(L10-L11))/p_h)+p_nu*(M11+K11+L10+L12-4*L11)/p_h^2))</f>
        <v/>
      </c>
      <c r="M11" s="15">
        <f>IF(p_reset=1,0,M11+p_dt*(-u_vel!M11*((1-p_theta)*(N11-L11)/(2*p_h)+p_theta*IF(u_vel!M11&gt;0,(M11-L11),(N11-M11))/p_h)-v_vel!M11*((1-p_theta)*(M10-M12)/(2*p_h)+p_theta*IF(v_vel!M11&gt;0,(M11-M12),(M10-M11))/p_h)+p_nu*(N11+L11+M10+M12-4*M11)/p_h^2))</f>
        <v/>
      </c>
      <c r="N11" s="15">
        <f>IF(p_reset=1,0,N11+p_dt*(-u_vel!N11*((1-p_theta)*(O11-M11)/(2*p_h)+p_theta*IF(u_vel!N11&gt;0,(N11-M11),(O11-N11))/p_h)-v_vel!N11*((1-p_theta)*(N10-N12)/(2*p_h)+p_theta*IF(v_vel!N11&gt;0,(N11-N12),(N10-N11))/p_h)+p_nu*(O11+M11+N10+N12-4*N11)/p_h^2))</f>
        <v/>
      </c>
      <c r="O11" s="15">
        <f>IF(p_reset=1,0,O11+p_dt*(-u_vel!O11*((1-p_theta)*(P11-N11)/(2*p_h)+p_theta*IF(u_vel!O11&gt;0,(O11-N11),(P11-O11))/p_h)-v_vel!O11*((1-p_theta)*(O10-O12)/(2*p_h)+p_theta*IF(v_vel!O11&gt;0,(O11-O12),(O10-O11))/p_h)+p_nu*(P11+N11+O10+O12-4*O11)/p_h^2))</f>
        <v/>
      </c>
      <c r="P11" s="15">
        <f>IF(p_reset=1,0,P11+p_dt*(-u_vel!P11*((1-p_theta)*(Q11-O11)/(2*p_h)+p_theta*IF(u_vel!P11&gt;0,(P11-O11),(Q11-P11))/p_h)-v_vel!P11*((1-p_theta)*(P10-P12)/(2*p_h)+p_theta*IF(v_vel!P11&gt;0,(P11-P12),(P10-P11))/p_h)+p_nu*(Q11+O11+P10+P12-4*P11)/p_h^2))</f>
        <v/>
      </c>
      <c r="Q11" s="15">
        <f>IF(p_reset=1,0,Q11+p_dt*(-u_vel!Q11*((1-p_theta)*(R11-P11)/(2*p_h)+p_theta*IF(u_vel!Q11&gt;0,(Q11-P11),(R11-Q11))/p_h)-v_vel!Q11*((1-p_theta)*(Q10-Q12)/(2*p_h)+p_theta*IF(v_vel!Q11&gt;0,(Q11-Q12),(Q10-Q11))/p_h)+p_nu*(R11+P11+Q10+Q12-4*Q11)/p_h^2))</f>
        <v/>
      </c>
      <c r="R11" s="15">
        <f>IF(p_reset=1,0,R11+p_dt*(-u_vel!R11*((1-p_theta)*(S11-Q11)/(2*p_h)+p_theta*IF(u_vel!R11&gt;0,(R11-Q11),(S11-R11))/p_h)-v_vel!R11*((1-p_theta)*(R10-R12)/(2*p_h)+p_theta*IF(v_vel!R11&gt;0,(R11-R12),(R10-R11))/p_h)+p_nu*(S11+Q11+R10+R12-4*R11)/p_h^2))</f>
        <v/>
      </c>
      <c r="S11" s="15">
        <f>IF(p_reset=1,0,S11+p_dt*(-u_vel!S11*((1-p_theta)*(T11-R11)/(2*p_h)+p_theta*IF(u_vel!S11&gt;0,(S11-R11),(T11-S11))/p_h)-v_vel!S11*((1-p_theta)*(S10-S12)/(2*p_h)+p_theta*IF(v_vel!S11&gt;0,(S11-S12),(S10-S11))/p_h)+p_nu*(T11+R11+S10+S12-4*S11)/p_h^2))</f>
        <v/>
      </c>
      <c r="T11" s="15">
        <f>IF(p_reset=1,0,T11+p_dt*(-u_vel!T11*((1-p_theta)*(U11-S11)/(2*p_h)+p_theta*IF(u_vel!T11&gt;0,(T11-S11),(U11-T11))/p_h)-v_vel!T11*((1-p_theta)*(T10-T12)/(2*p_h)+p_theta*IF(v_vel!T11&gt;0,(T11-T12),(T10-T11))/p_h)+p_nu*(U11+S11+T10+T12-4*T11)/p_h^2))</f>
        <v/>
      </c>
      <c r="U11" s="15">
        <f>IF(p_reset=1,0,U11+p_dt*(-u_vel!U11*((1-p_theta)*(V11-T11)/(2*p_h)+p_theta*IF(u_vel!U11&gt;0,(U11-T11),(V11-U11))/p_h)-v_vel!U11*((1-p_theta)*(U10-U12)/(2*p_h)+p_theta*IF(v_vel!U11&gt;0,(U11-U12),(U10-U11))/p_h)+p_nu*(V11+T11+U10+U12-4*U11)/p_h^2))</f>
        <v/>
      </c>
      <c r="V11" s="15">
        <f>IF(p_reset=1,0,V11+p_dt*(-u_vel!V11*((1-p_theta)*(W11-U11)/(2*p_h)+p_theta*IF(u_vel!V11&gt;0,(V11-U11),(W11-V11))/p_h)-v_vel!V11*((1-p_theta)*(V10-V12)/(2*p_h)+p_theta*IF(v_vel!V11&gt;0,(V11-V12),(V10-V11))/p_h)+p_nu*(W11+U11+V10+V12-4*V11)/p_h^2))</f>
        <v/>
      </c>
      <c r="W11" s="15">
        <f>IF(p_reset=1,0,W11+p_dt*(-u_vel!W11*((1-p_theta)*(X11-V11)/(2*p_h)+p_theta*IF(u_vel!W11&gt;0,(W11-V11),(X11-W11))/p_h)-v_vel!W11*((1-p_theta)*(W10-W12)/(2*p_h)+p_theta*IF(v_vel!W11&gt;0,(W11-W12),(W10-W11))/p_h)+p_nu*(X11+V11+W10+W12-4*W11)/p_h^2))</f>
        <v/>
      </c>
      <c r="X11" s="15">
        <f>IF(p_reset=1,0,X11+p_dt*(-u_vel!X11*((1-p_theta)*(Y11-W11)/(2*p_h)+p_theta*IF(u_vel!X11&gt;0,(X11-W11),(Y11-X11))/p_h)-v_vel!X11*((1-p_theta)*(X10-X12)/(2*p_h)+p_theta*IF(v_vel!X11&gt;0,(X11-X12),(X10-X11))/p_h)+p_nu*(Y11+W11+X10+X12-4*X11)/p_h^2))</f>
        <v/>
      </c>
      <c r="Y11" s="15">
        <f>IF(p_reset=1,0,Y11+p_dt*(-u_vel!Y11*((1-p_theta)*(Z11-X11)/(2*p_h)+p_theta*IF(u_vel!Y11&gt;0,(Y11-X11),(Z11-Y11))/p_h)-v_vel!Y11*((1-p_theta)*(Y10-Y12)/(2*p_h)+p_theta*IF(v_vel!Y11&gt;0,(Y11-Y12),(Y10-Y11))/p_h)+p_nu*(Z11+X11+Y10+Y12-4*Y11)/p_h^2))</f>
        <v/>
      </c>
      <c r="Z11" s="15">
        <f>IF(p_reset=1,0,Z11+p_dt*(-u_vel!Z11*((1-p_theta)*(AA11-Y11)/(2*p_h)+p_theta*IF(u_vel!Z11&gt;0,(Z11-Y11),(AA11-Z11))/p_h)-v_vel!Z11*((1-p_theta)*(Z10-Z12)/(2*p_h)+p_theta*IF(v_vel!Z11&gt;0,(Z11-Z12),(Z10-Z11))/p_h)+p_nu*(AA11+Y11+Z10+Z12-4*Z11)/p_h^2))</f>
        <v/>
      </c>
      <c r="AA11" s="15">
        <f>IF(p_reset=1,0,AA11+p_dt*(-u_vel!AA11*((1-p_theta)*(AB11-Z11)/(2*p_h)+p_theta*IF(u_vel!AA11&gt;0,(AA11-Z11),(AB11-AA11))/p_h)-v_vel!AA11*((1-p_theta)*(AA10-AA12)/(2*p_h)+p_theta*IF(v_vel!AA11&gt;0,(AA11-AA12),(AA10-AA11))/p_h)+p_nu*(AB11+Z11+AA10+AA12-4*AA11)/p_h^2))</f>
        <v/>
      </c>
      <c r="AB11" s="15">
        <f>IF(p_reset=1,0,AB11+p_dt*(-u_vel!AB11*((1-p_theta)*(AC11-AA11)/(2*p_h)+p_theta*IF(u_vel!AB11&gt;0,(AB11-AA11),(AC11-AB11))/p_h)-v_vel!AB11*((1-p_theta)*(AB10-AB12)/(2*p_h)+p_theta*IF(v_vel!AB11&gt;0,(AB11-AB12),(AB10-AB11))/p_h)+p_nu*(AC11+AA11+AB10+AB12-4*AB11)/p_h^2))</f>
        <v/>
      </c>
      <c r="AC11" s="15">
        <f>IF(p_reset=1,0,AC11+p_dt*(-u_vel!AC11*((1-p_theta)*(AD11-AB11)/(2*p_h)+p_theta*IF(u_vel!AC11&gt;0,(AC11-AB11),(AD11-AC11))/p_h)-v_vel!AC11*((1-p_theta)*(AC10-AC12)/(2*p_h)+p_theta*IF(v_vel!AC11&gt;0,(AC11-AC12),(AC10-AC11))/p_h)+p_nu*(AD11+AB11+AC10+AC12-4*AC11)/p_h^2))</f>
        <v/>
      </c>
      <c r="AD11" s="15">
        <f>IF(p_reset=1,0,AD11+p_dt*(-u_vel!AD11*((1-p_theta)*(AE11-AC11)/(2*p_h)+p_theta*IF(u_vel!AD11&gt;0,(AD11-AC11),(AE11-AD11))/p_h)-v_vel!AD11*((1-p_theta)*(AD10-AD12)/(2*p_h)+p_theta*IF(v_vel!AD11&gt;0,(AD11-AD12),(AD10-AD11))/p_h)+p_nu*(AE11+AC11+AD10+AD12-4*AD11)/p_h^2))</f>
        <v/>
      </c>
      <c r="AE11" s="15">
        <f>IF(p_reset=1,0,AE11+p_dt*(-u_vel!AE11*((1-p_theta)*(AF11-AD11)/(2*p_h)+p_theta*IF(u_vel!AE11&gt;0,(AE11-AD11),(AF11-AE11))/p_h)-v_vel!AE11*((1-p_theta)*(AE10-AE12)/(2*p_h)+p_theta*IF(v_vel!AE11&gt;0,(AE11-AE12),(AE10-AE11))/p_h)+p_nu*(AF11+AD11+AE10+AE12-4*AE11)/p_h^2))</f>
        <v/>
      </c>
      <c r="AF11" s="15">
        <f>IF(p_reset=1,0,AF11+p_dt*(-u_vel!AF11*((1-p_theta)*(AG11-AE11)/(2*p_h)+p_theta*IF(u_vel!AF11&gt;0,(AF11-AE11),(AG11-AF11))/p_h)-v_vel!AF11*((1-p_theta)*(AF10-AF12)/(2*p_h)+p_theta*IF(v_vel!AF11&gt;0,(AF11-AF12),(AF10-AF11))/p_h)+p_nu*(AG11+AE11+AF10+AF12-4*AF11)/p_h^2))</f>
        <v/>
      </c>
      <c r="AG11" s="15">
        <f>IF(p_reset=1,0,AG11+p_dt*(-u_vel!AG11*((1-p_theta)*(AH11-AF11)/(2*p_h)+p_theta*IF(u_vel!AG11&gt;0,(AG11-AF11),(AH11-AG11))/p_h)-v_vel!AG11*((1-p_theta)*(AG10-AG12)/(2*p_h)+p_theta*IF(v_vel!AG11&gt;0,(AG11-AG12),(AG10-AG11))/p_h)+p_nu*(AH11+AF11+AG10+AG12-4*AG11)/p_h^2))</f>
        <v/>
      </c>
      <c r="AH11" s="15">
        <f>-2*Psi!AG11/p_h^2</f>
        <v/>
      </c>
    </row>
    <row r="12">
      <c r="A12" s="7">
        <f>A11-p_h</f>
        <v/>
      </c>
      <c r="B12" s="15">
        <f>-2*Psi!C12/p_h^2</f>
        <v/>
      </c>
      <c r="C12" s="15">
        <f>IF(p_reset=1,0,C12+p_dt*(-u_vel!C12*((1-p_theta)*(D12-B12)/(2*p_h)+p_theta*IF(u_vel!C12&gt;0,(C12-B12),(D12-C12))/p_h)-v_vel!C12*((1-p_theta)*(C11-C13)/(2*p_h)+p_theta*IF(v_vel!C12&gt;0,(C12-C13),(C11-C12))/p_h)+p_nu*(D12+B12+C11+C13-4*C12)/p_h^2))</f>
        <v/>
      </c>
      <c r="D12" s="15">
        <f>IF(p_reset=1,0,D12+p_dt*(-u_vel!D12*((1-p_theta)*(E12-C12)/(2*p_h)+p_theta*IF(u_vel!D12&gt;0,(D12-C12),(E12-D12))/p_h)-v_vel!D12*((1-p_theta)*(D11-D13)/(2*p_h)+p_theta*IF(v_vel!D12&gt;0,(D12-D13),(D11-D12))/p_h)+p_nu*(E12+C12+D11+D13-4*D12)/p_h^2))</f>
        <v/>
      </c>
      <c r="E12" s="15">
        <f>IF(p_reset=1,0,E12+p_dt*(-u_vel!E12*((1-p_theta)*(F12-D12)/(2*p_h)+p_theta*IF(u_vel!E12&gt;0,(E12-D12),(F12-E12))/p_h)-v_vel!E12*((1-p_theta)*(E11-E13)/(2*p_h)+p_theta*IF(v_vel!E12&gt;0,(E12-E13),(E11-E12))/p_h)+p_nu*(F12+D12+E11+E13-4*E12)/p_h^2))</f>
        <v/>
      </c>
      <c r="F12" s="15">
        <f>IF(p_reset=1,0,F12+p_dt*(-u_vel!F12*((1-p_theta)*(G12-E12)/(2*p_h)+p_theta*IF(u_vel!F12&gt;0,(F12-E12),(G12-F12))/p_h)-v_vel!F12*((1-p_theta)*(F11-F13)/(2*p_h)+p_theta*IF(v_vel!F12&gt;0,(F12-F13),(F11-F12))/p_h)+p_nu*(G12+E12+F11+F13-4*F12)/p_h^2))</f>
        <v/>
      </c>
      <c r="G12" s="15">
        <f>IF(p_reset=1,0,G12+p_dt*(-u_vel!G12*((1-p_theta)*(H12-F12)/(2*p_h)+p_theta*IF(u_vel!G12&gt;0,(G12-F12),(H12-G12))/p_h)-v_vel!G12*((1-p_theta)*(G11-G13)/(2*p_h)+p_theta*IF(v_vel!G12&gt;0,(G12-G13),(G11-G12))/p_h)+p_nu*(H12+F12+G11+G13-4*G12)/p_h^2))</f>
        <v/>
      </c>
      <c r="H12" s="15">
        <f>IF(p_reset=1,0,H12+p_dt*(-u_vel!H12*((1-p_theta)*(I12-G12)/(2*p_h)+p_theta*IF(u_vel!H12&gt;0,(H12-G12),(I12-H12))/p_h)-v_vel!H12*((1-p_theta)*(H11-H13)/(2*p_h)+p_theta*IF(v_vel!H12&gt;0,(H12-H13),(H11-H12))/p_h)+p_nu*(I12+G12+H11+H13-4*H12)/p_h^2))</f>
        <v/>
      </c>
      <c r="I12" s="15">
        <f>IF(p_reset=1,0,I12+p_dt*(-u_vel!I12*((1-p_theta)*(J12-H12)/(2*p_h)+p_theta*IF(u_vel!I12&gt;0,(I12-H12),(J12-I12))/p_h)-v_vel!I12*((1-p_theta)*(I11-I13)/(2*p_h)+p_theta*IF(v_vel!I12&gt;0,(I12-I13),(I11-I12))/p_h)+p_nu*(J12+H12+I11+I13-4*I12)/p_h^2))</f>
        <v/>
      </c>
      <c r="J12" s="15">
        <f>IF(p_reset=1,0,J12+p_dt*(-u_vel!J12*((1-p_theta)*(K12-I12)/(2*p_h)+p_theta*IF(u_vel!J12&gt;0,(J12-I12),(K12-J12))/p_h)-v_vel!J12*((1-p_theta)*(J11-J13)/(2*p_h)+p_theta*IF(v_vel!J12&gt;0,(J12-J13),(J11-J12))/p_h)+p_nu*(K12+I12+J11+J13-4*J12)/p_h^2))</f>
        <v/>
      </c>
      <c r="K12" s="15">
        <f>IF(p_reset=1,0,K12+p_dt*(-u_vel!K12*((1-p_theta)*(L12-J12)/(2*p_h)+p_theta*IF(u_vel!K12&gt;0,(K12-J12),(L12-K12))/p_h)-v_vel!K12*((1-p_theta)*(K11-K13)/(2*p_h)+p_theta*IF(v_vel!K12&gt;0,(K12-K13),(K11-K12))/p_h)+p_nu*(L12+J12+K11+K13-4*K12)/p_h^2))</f>
        <v/>
      </c>
      <c r="L12" s="15">
        <f>IF(p_reset=1,0,L12+p_dt*(-u_vel!L12*((1-p_theta)*(M12-K12)/(2*p_h)+p_theta*IF(u_vel!L12&gt;0,(L12-K12),(M12-L12))/p_h)-v_vel!L12*((1-p_theta)*(L11-L13)/(2*p_h)+p_theta*IF(v_vel!L12&gt;0,(L12-L13),(L11-L12))/p_h)+p_nu*(M12+K12+L11+L13-4*L12)/p_h^2))</f>
        <v/>
      </c>
      <c r="M12" s="15">
        <f>IF(p_reset=1,0,M12+p_dt*(-u_vel!M12*((1-p_theta)*(N12-L12)/(2*p_h)+p_theta*IF(u_vel!M12&gt;0,(M12-L12),(N12-M12))/p_h)-v_vel!M12*((1-p_theta)*(M11-M13)/(2*p_h)+p_theta*IF(v_vel!M12&gt;0,(M12-M13),(M11-M12))/p_h)+p_nu*(N12+L12+M11+M13-4*M12)/p_h^2))</f>
        <v/>
      </c>
      <c r="N12" s="15">
        <f>IF(p_reset=1,0,N12+p_dt*(-u_vel!N12*((1-p_theta)*(O12-M12)/(2*p_h)+p_theta*IF(u_vel!N12&gt;0,(N12-M12),(O12-N12))/p_h)-v_vel!N12*((1-p_theta)*(N11-N13)/(2*p_h)+p_theta*IF(v_vel!N12&gt;0,(N12-N13),(N11-N12))/p_h)+p_nu*(O12+M12+N11+N13-4*N12)/p_h^2))</f>
        <v/>
      </c>
      <c r="O12" s="15">
        <f>IF(p_reset=1,0,O12+p_dt*(-u_vel!O12*((1-p_theta)*(P12-N12)/(2*p_h)+p_theta*IF(u_vel!O12&gt;0,(O12-N12),(P12-O12))/p_h)-v_vel!O12*((1-p_theta)*(O11-O13)/(2*p_h)+p_theta*IF(v_vel!O12&gt;0,(O12-O13),(O11-O12))/p_h)+p_nu*(P12+N12+O11+O13-4*O12)/p_h^2))</f>
        <v/>
      </c>
      <c r="P12" s="15">
        <f>IF(p_reset=1,0,P12+p_dt*(-u_vel!P12*((1-p_theta)*(Q12-O12)/(2*p_h)+p_theta*IF(u_vel!P12&gt;0,(P12-O12),(Q12-P12))/p_h)-v_vel!P12*((1-p_theta)*(P11-P13)/(2*p_h)+p_theta*IF(v_vel!P12&gt;0,(P12-P13),(P11-P12))/p_h)+p_nu*(Q12+O12+P11+P13-4*P12)/p_h^2))</f>
        <v/>
      </c>
      <c r="Q12" s="15">
        <f>IF(p_reset=1,0,Q12+p_dt*(-u_vel!Q12*((1-p_theta)*(R12-P12)/(2*p_h)+p_theta*IF(u_vel!Q12&gt;0,(Q12-P12),(R12-Q12))/p_h)-v_vel!Q12*((1-p_theta)*(Q11-Q13)/(2*p_h)+p_theta*IF(v_vel!Q12&gt;0,(Q12-Q13),(Q11-Q12))/p_h)+p_nu*(R12+P12+Q11+Q13-4*Q12)/p_h^2))</f>
        <v/>
      </c>
      <c r="R12" s="15">
        <f>IF(p_reset=1,0,R12+p_dt*(-u_vel!R12*((1-p_theta)*(S12-Q12)/(2*p_h)+p_theta*IF(u_vel!R12&gt;0,(R12-Q12),(S12-R12))/p_h)-v_vel!R12*((1-p_theta)*(R11-R13)/(2*p_h)+p_theta*IF(v_vel!R12&gt;0,(R12-R13),(R11-R12))/p_h)+p_nu*(S12+Q12+R11+R13-4*R12)/p_h^2))</f>
        <v/>
      </c>
      <c r="S12" s="15">
        <f>IF(p_reset=1,0,S12+p_dt*(-u_vel!S12*((1-p_theta)*(T12-R12)/(2*p_h)+p_theta*IF(u_vel!S12&gt;0,(S12-R12),(T12-S12))/p_h)-v_vel!S12*((1-p_theta)*(S11-S13)/(2*p_h)+p_theta*IF(v_vel!S12&gt;0,(S12-S13),(S11-S12))/p_h)+p_nu*(T12+R12+S11+S13-4*S12)/p_h^2))</f>
        <v/>
      </c>
      <c r="T12" s="15">
        <f>IF(p_reset=1,0,T12+p_dt*(-u_vel!T12*((1-p_theta)*(U12-S12)/(2*p_h)+p_theta*IF(u_vel!T12&gt;0,(T12-S12),(U12-T12))/p_h)-v_vel!T12*((1-p_theta)*(T11-T13)/(2*p_h)+p_theta*IF(v_vel!T12&gt;0,(T12-T13),(T11-T12))/p_h)+p_nu*(U12+S12+T11+T13-4*T12)/p_h^2))</f>
        <v/>
      </c>
      <c r="U12" s="15">
        <f>IF(p_reset=1,0,U12+p_dt*(-u_vel!U12*((1-p_theta)*(V12-T12)/(2*p_h)+p_theta*IF(u_vel!U12&gt;0,(U12-T12),(V12-U12))/p_h)-v_vel!U12*((1-p_theta)*(U11-U13)/(2*p_h)+p_theta*IF(v_vel!U12&gt;0,(U12-U13),(U11-U12))/p_h)+p_nu*(V12+T12+U11+U13-4*U12)/p_h^2))</f>
        <v/>
      </c>
      <c r="V12" s="15">
        <f>IF(p_reset=1,0,V12+p_dt*(-u_vel!V12*((1-p_theta)*(W12-U12)/(2*p_h)+p_theta*IF(u_vel!V12&gt;0,(V12-U12),(W12-V12))/p_h)-v_vel!V12*((1-p_theta)*(V11-V13)/(2*p_h)+p_theta*IF(v_vel!V12&gt;0,(V12-V13),(V11-V12))/p_h)+p_nu*(W12+U12+V11+V13-4*V12)/p_h^2))</f>
        <v/>
      </c>
      <c r="W12" s="15">
        <f>IF(p_reset=1,0,W12+p_dt*(-u_vel!W12*((1-p_theta)*(X12-V12)/(2*p_h)+p_theta*IF(u_vel!W12&gt;0,(W12-V12),(X12-W12))/p_h)-v_vel!W12*((1-p_theta)*(W11-W13)/(2*p_h)+p_theta*IF(v_vel!W12&gt;0,(W12-W13),(W11-W12))/p_h)+p_nu*(X12+V12+W11+W13-4*W12)/p_h^2))</f>
        <v/>
      </c>
      <c r="X12" s="15">
        <f>IF(p_reset=1,0,X12+p_dt*(-u_vel!X12*((1-p_theta)*(Y12-W12)/(2*p_h)+p_theta*IF(u_vel!X12&gt;0,(X12-W12),(Y12-X12))/p_h)-v_vel!X12*((1-p_theta)*(X11-X13)/(2*p_h)+p_theta*IF(v_vel!X12&gt;0,(X12-X13),(X11-X12))/p_h)+p_nu*(Y12+W12+X11+X13-4*X12)/p_h^2))</f>
        <v/>
      </c>
      <c r="Y12" s="15">
        <f>IF(p_reset=1,0,Y12+p_dt*(-u_vel!Y12*((1-p_theta)*(Z12-X12)/(2*p_h)+p_theta*IF(u_vel!Y12&gt;0,(Y12-X12),(Z12-Y12))/p_h)-v_vel!Y12*((1-p_theta)*(Y11-Y13)/(2*p_h)+p_theta*IF(v_vel!Y12&gt;0,(Y12-Y13),(Y11-Y12))/p_h)+p_nu*(Z12+X12+Y11+Y13-4*Y12)/p_h^2))</f>
        <v/>
      </c>
      <c r="Z12" s="15">
        <f>IF(p_reset=1,0,Z12+p_dt*(-u_vel!Z12*((1-p_theta)*(AA12-Y12)/(2*p_h)+p_theta*IF(u_vel!Z12&gt;0,(Z12-Y12),(AA12-Z12))/p_h)-v_vel!Z12*((1-p_theta)*(Z11-Z13)/(2*p_h)+p_theta*IF(v_vel!Z12&gt;0,(Z12-Z13),(Z11-Z12))/p_h)+p_nu*(AA12+Y12+Z11+Z13-4*Z12)/p_h^2))</f>
        <v/>
      </c>
      <c r="AA12" s="15">
        <f>IF(p_reset=1,0,AA12+p_dt*(-u_vel!AA12*((1-p_theta)*(AB12-Z12)/(2*p_h)+p_theta*IF(u_vel!AA12&gt;0,(AA12-Z12),(AB12-AA12))/p_h)-v_vel!AA12*((1-p_theta)*(AA11-AA13)/(2*p_h)+p_theta*IF(v_vel!AA12&gt;0,(AA12-AA13),(AA11-AA12))/p_h)+p_nu*(AB12+Z12+AA11+AA13-4*AA12)/p_h^2))</f>
        <v/>
      </c>
      <c r="AB12" s="15">
        <f>IF(p_reset=1,0,AB12+p_dt*(-u_vel!AB12*((1-p_theta)*(AC12-AA12)/(2*p_h)+p_theta*IF(u_vel!AB12&gt;0,(AB12-AA12),(AC12-AB12))/p_h)-v_vel!AB12*((1-p_theta)*(AB11-AB13)/(2*p_h)+p_theta*IF(v_vel!AB12&gt;0,(AB12-AB13),(AB11-AB12))/p_h)+p_nu*(AC12+AA12+AB11+AB13-4*AB12)/p_h^2))</f>
        <v/>
      </c>
      <c r="AC12" s="15">
        <f>IF(p_reset=1,0,AC12+p_dt*(-u_vel!AC12*((1-p_theta)*(AD12-AB12)/(2*p_h)+p_theta*IF(u_vel!AC12&gt;0,(AC12-AB12),(AD12-AC12))/p_h)-v_vel!AC12*((1-p_theta)*(AC11-AC13)/(2*p_h)+p_theta*IF(v_vel!AC12&gt;0,(AC12-AC13),(AC11-AC12))/p_h)+p_nu*(AD12+AB12+AC11+AC13-4*AC12)/p_h^2))</f>
        <v/>
      </c>
      <c r="AD12" s="15">
        <f>IF(p_reset=1,0,AD12+p_dt*(-u_vel!AD12*((1-p_theta)*(AE12-AC12)/(2*p_h)+p_theta*IF(u_vel!AD12&gt;0,(AD12-AC12),(AE12-AD12))/p_h)-v_vel!AD12*((1-p_theta)*(AD11-AD13)/(2*p_h)+p_theta*IF(v_vel!AD12&gt;0,(AD12-AD13),(AD11-AD12))/p_h)+p_nu*(AE12+AC12+AD11+AD13-4*AD12)/p_h^2))</f>
        <v/>
      </c>
      <c r="AE12" s="15">
        <f>IF(p_reset=1,0,AE12+p_dt*(-u_vel!AE12*((1-p_theta)*(AF12-AD12)/(2*p_h)+p_theta*IF(u_vel!AE12&gt;0,(AE12-AD12),(AF12-AE12))/p_h)-v_vel!AE12*((1-p_theta)*(AE11-AE13)/(2*p_h)+p_theta*IF(v_vel!AE12&gt;0,(AE12-AE13),(AE11-AE12))/p_h)+p_nu*(AF12+AD12+AE11+AE13-4*AE12)/p_h^2))</f>
        <v/>
      </c>
      <c r="AF12" s="15">
        <f>IF(p_reset=1,0,AF12+p_dt*(-u_vel!AF12*((1-p_theta)*(AG12-AE12)/(2*p_h)+p_theta*IF(u_vel!AF12&gt;0,(AF12-AE12),(AG12-AF12))/p_h)-v_vel!AF12*((1-p_theta)*(AF11-AF13)/(2*p_h)+p_theta*IF(v_vel!AF12&gt;0,(AF12-AF13),(AF11-AF12))/p_h)+p_nu*(AG12+AE12+AF11+AF13-4*AF12)/p_h^2))</f>
        <v/>
      </c>
      <c r="AG12" s="15">
        <f>IF(p_reset=1,0,AG12+p_dt*(-u_vel!AG12*((1-p_theta)*(AH12-AF12)/(2*p_h)+p_theta*IF(u_vel!AG12&gt;0,(AG12-AF12),(AH12-AG12))/p_h)-v_vel!AG12*((1-p_theta)*(AG11-AG13)/(2*p_h)+p_theta*IF(v_vel!AG12&gt;0,(AG12-AG13),(AG11-AG12))/p_h)+p_nu*(AH12+AF12+AG11+AG13-4*AG12)/p_h^2))</f>
        <v/>
      </c>
      <c r="AH12" s="15">
        <f>-2*Psi!AG12/p_h^2</f>
        <v/>
      </c>
    </row>
    <row r="13">
      <c r="A13" s="7">
        <f>A12-p_h</f>
        <v/>
      </c>
      <c r="B13" s="15">
        <f>-2*Psi!C13/p_h^2</f>
        <v/>
      </c>
      <c r="C13" s="15">
        <f>IF(p_reset=1,0,C13+p_dt*(-u_vel!C13*((1-p_theta)*(D13-B13)/(2*p_h)+p_theta*IF(u_vel!C13&gt;0,(C13-B13),(D13-C13))/p_h)-v_vel!C13*((1-p_theta)*(C12-C14)/(2*p_h)+p_theta*IF(v_vel!C13&gt;0,(C13-C14),(C12-C13))/p_h)+p_nu*(D13+B13+C12+C14-4*C13)/p_h^2))</f>
        <v/>
      </c>
      <c r="D13" s="15">
        <f>IF(p_reset=1,0,D13+p_dt*(-u_vel!D13*((1-p_theta)*(E13-C13)/(2*p_h)+p_theta*IF(u_vel!D13&gt;0,(D13-C13),(E13-D13))/p_h)-v_vel!D13*((1-p_theta)*(D12-D14)/(2*p_h)+p_theta*IF(v_vel!D13&gt;0,(D13-D14),(D12-D13))/p_h)+p_nu*(E13+C13+D12+D14-4*D13)/p_h^2))</f>
        <v/>
      </c>
      <c r="E13" s="15">
        <f>IF(p_reset=1,0,E13+p_dt*(-u_vel!E13*((1-p_theta)*(F13-D13)/(2*p_h)+p_theta*IF(u_vel!E13&gt;0,(E13-D13),(F13-E13))/p_h)-v_vel!E13*((1-p_theta)*(E12-E14)/(2*p_h)+p_theta*IF(v_vel!E13&gt;0,(E13-E14),(E12-E13))/p_h)+p_nu*(F13+D13+E12+E14-4*E13)/p_h^2))</f>
        <v/>
      </c>
      <c r="F13" s="15">
        <f>IF(p_reset=1,0,F13+p_dt*(-u_vel!F13*((1-p_theta)*(G13-E13)/(2*p_h)+p_theta*IF(u_vel!F13&gt;0,(F13-E13),(G13-F13))/p_h)-v_vel!F13*((1-p_theta)*(F12-F14)/(2*p_h)+p_theta*IF(v_vel!F13&gt;0,(F13-F14),(F12-F13))/p_h)+p_nu*(G13+E13+F12+F14-4*F13)/p_h^2))</f>
        <v/>
      </c>
      <c r="G13" s="15">
        <f>IF(p_reset=1,0,G13+p_dt*(-u_vel!G13*((1-p_theta)*(H13-F13)/(2*p_h)+p_theta*IF(u_vel!G13&gt;0,(G13-F13),(H13-G13))/p_h)-v_vel!G13*((1-p_theta)*(G12-G14)/(2*p_h)+p_theta*IF(v_vel!G13&gt;0,(G13-G14),(G12-G13))/p_h)+p_nu*(H13+F13+G12+G14-4*G13)/p_h^2))</f>
        <v/>
      </c>
      <c r="H13" s="15">
        <f>IF(p_reset=1,0,H13+p_dt*(-u_vel!H13*((1-p_theta)*(I13-G13)/(2*p_h)+p_theta*IF(u_vel!H13&gt;0,(H13-G13),(I13-H13))/p_h)-v_vel!H13*((1-p_theta)*(H12-H14)/(2*p_h)+p_theta*IF(v_vel!H13&gt;0,(H13-H14),(H12-H13))/p_h)+p_nu*(I13+G13+H12+H14-4*H13)/p_h^2))</f>
        <v/>
      </c>
      <c r="I13" s="15">
        <f>IF(p_reset=1,0,I13+p_dt*(-u_vel!I13*((1-p_theta)*(J13-H13)/(2*p_h)+p_theta*IF(u_vel!I13&gt;0,(I13-H13),(J13-I13))/p_h)-v_vel!I13*((1-p_theta)*(I12-I14)/(2*p_h)+p_theta*IF(v_vel!I13&gt;0,(I13-I14),(I12-I13))/p_h)+p_nu*(J13+H13+I12+I14-4*I13)/p_h^2))</f>
        <v/>
      </c>
      <c r="J13" s="15">
        <f>IF(p_reset=1,0,J13+p_dt*(-u_vel!J13*((1-p_theta)*(K13-I13)/(2*p_h)+p_theta*IF(u_vel!J13&gt;0,(J13-I13),(K13-J13))/p_h)-v_vel!J13*((1-p_theta)*(J12-J14)/(2*p_h)+p_theta*IF(v_vel!J13&gt;0,(J13-J14),(J12-J13))/p_h)+p_nu*(K13+I13+J12+J14-4*J13)/p_h^2))</f>
        <v/>
      </c>
      <c r="K13" s="15">
        <f>IF(p_reset=1,0,K13+p_dt*(-u_vel!K13*((1-p_theta)*(L13-J13)/(2*p_h)+p_theta*IF(u_vel!K13&gt;0,(K13-J13),(L13-K13))/p_h)-v_vel!K13*((1-p_theta)*(K12-K14)/(2*p_h)+p_theta*IF(v_vel!K13&gt;0,(K13-K14),(K12-K13))/p_h)+p_nu*(L13+J13+K12+K14-4*K13)/p_h^2))</f>
        <v/>
      </c>
      <c r="L13" s="15">
        <f>IF(p_reset=1,0,L13+p_dt*(-u_vel!L13*((1-p_theta)*(M13-K13)/(2*p_h)+p_theta*IF(u_vel!L13&gt;0,(L13-K13),(M13-L13))/p_h)-v_vel!L13*((1-p_theta)*(L12-L14)/(2*p_h)+p_theta*IF(v_vel!L13&gt;0,(L13-L14),(L12-L13))/p_h)+p_nu*(M13+K13+L12+L14-4*L13)/p_h^2))</f>
        <v/>
      </c>
      <c r="M13" s="15">
        <f>IF(p_reset=1,0,M13+p_dt*(-u_vel!M13*((1-p_theta)*(N13-L13)/(2*p_h)+p_theta*IF(u_vel!M13&gt;0,(M13-L13),(N13-M13))/p_h)-v_vel!M13*((1-p_theta)*(M12-M14)/(2*p_h)+p_theta*IF(v_vel!M13&gt;0,(M13-M14),(M12-M13))/p_h)+p_nu*(N13+L13+M12+M14-4*M13)/p_h^2))</f>
        <v/>
      </c>
      <c r="N13" s="15">
        <f>IF(p_reset=1,0,N13+p_dt*(-u_vel!N13*((1-p_theta)*(O13-M13)/(2*p_h)+p_theta*IF(u_vel!N13&gt;0,(N13-M13),(O13-N13))/p_h)-v_vel!N13*((1-p_theta)*(N12-N14)/(2*p_h)+p_theta*IF(v_vel!N13&gt;0,(N13-N14),(N12-N13))/p_h)+p_nu*(O13+M13+N12+N14-4*N13)/p_h^2))</f>
        <v/>
      </c>
      <c r="O13" s="15">
        <f>IF(p_reset=1,0,O13+p_dt*(-u_vel!O13*((1-p_theta)*(P13-N13)/(2*p_h)+p_theta*IF(u_vel!O13&gt;0,(O13-N13),(P13-O13))/p_h)-v_vel!O13*((1-p_theta)*(O12-O14)/(2*p_h)+p_theta*IF(v_vel!O13&gt;0,(O13-O14),(O12-O13))/p_h)+p_nu*(P13+N13+O12+O14-4*O13)/p_h^2))</f>
        <v/>
      </c>
      <c r="P13" s="15">
        <f>IF(p_reset=1,0,P13+p_dt*(-u_vel!P13*((1-p_theta)*(Q13-O13)/(2*p_h)+p_theta*IF(u_vel!P13&gt;0,(P13-O13),(Q13-P13))/p_h)-v_vel!P13*((1-p_theta)*(P12-P14)/(2*p_h)+p_theta*IF(v_vel!P13&gt;0,(P13-P14),(P12-P13))/p_h)+p_nu*(Q13+O13+P12+P14-4*P13)/p_h^2))</f>
        <v/>
      </c>
      <c r="Q13" s="15">
        <f>IF(p_reset=1,0,Q13+p_dt*(-u_vel!Q13*((1-p_theta)*(R13-P13)/(2*p_h)+p_theta*IF(u_vel!Q13&gt;0,(Q13-P13),(R13-Q13))/p_h)-v_vel!Q13*((1-p_theta)*(Q12-Q14)/(2*p_h)+p_theta*IF(v_vel!Q13&gt;0,(Q13-Q14),(Q12-Q13))/p_h)+p_nu*(R13+P13+Q12+Q14-4*Q13)/p_h^2))</f>
        <v/>
      </c>
      <c r="R13" s="15">
        <f>IF(p_reset=1,0,R13+p_dt*(-u_vel!R13*((1-p_theta)*(S13-Q13)/(2*p_h)+p_theta*IF(u_vel!R13&gt;0,(R13-Q13),(S13-R13))/p_h)-v_vel!R13*((1-p_theta)*(R12-R14)/(2*p_h)+p_theta*IF(v_vel!R13&gt;0,(R13-R14),(R12-R13))/p_h)+p_nu*(S13+Q13+R12+R14-4*R13)/p_h^2))</f>
        <v/>
      </c>
      <c r="S13" s="15">
        <f>IF(p_reset=1,0,S13+p_dt*(-u_vel!S13*((1-p_theta)*(T13-R13)/(2*p_h)+p_theta*IF(u_vel!S13&gt;0,(S13-R13),(T13-S13))/p_h)-v_vel!S13*((1-p_theta)*(S12-S14)/(2*p_h)+p_theta*IF(v_vel!S13&gt;0,(S13-S14),(S12-S13))/p_h)+p_nu*(T13+R13+S12+S14-4*S13)/p_h^2))</f>
        <v/>
      </c>
      <c r="T13" s="15">
        <f>IF(p_reset=1,0,T13+p_dt*(-u_vel!T13*((1-p_theta)*(U13-S13)/(2*p_h)+p_theta*IF(u_vel!T13&gt;0,(T13-S13),(U13-T13))/p_h)-v_vel!T13*((1-p_theta)*(T12-T14)/(2*p_h)+p_theta*IF(v_vel!T13&gt;0,(T13-T14),(T12-T13))/p_h)+p_nu*(U13+S13+T12+T14-4*T13)/p_h^2))</f>
        <v/>
      </c>
      <c r="U13" s="15">
        <f>IF(p_reset=1,0,U13+p_dt*(-u_vel!U13*((1-p_theta)*(V13-T13)/(2*p_h)+p_theta*IF(u_vel!U13&gt;0,(U13-T13),(V13-U13))/p_h)-v_vel!U13*((1-p_theta)*(U12-U14)/(2*p_h)+p_theta*IF(v_vel!U13&gt;0,(U13-U14),(U12-U13))/p_h)+p_nu*(V13+T13+U12+U14-4*U13)/p_h^2))</f>
        <v/>
      </c>
      <c r="V13" s="15">
        <f>IF(p_reset=1,0,V13+p_dt*(-u_vel!V13*((1-p_theta)*(W13-U13)/(2*p_h)+p_theta*IF(u_vel!V13&gt;0,(V13-U13),(W13-V13))/p_h)-v_vel!V13*((1-p_theta)*(V12-V14)/(2*p_h)+p_theta*IF(v_vel!V13&gt;0,(V13-V14),(V12-V13))/p_h)+p_nu*(W13+U13+V12+V14-4*V13)/p_h^2))</f>
        <v/>
      </c>
      <c r="W13" s="15">
        <f>IF(p_reset=1,0,W13+p_dt*(-u_vel!W13*((1-p_theta)*(X13-V13)/(2*p_h)+p_theta*IF(u_vel!W13&gt;0,(W13-V13),(X13-W13))/p_h)-v_vel!W13*((1-p_theta)*(W12-W14)/(2*p_h)+p_theta*IF(v_vel!W13&gt;0,(W13-W14),(W12-W13))/p_h)+p_nu*(X13+V13+W12+W14-4*W13)/p_h^2))</f>
        <v/>
      </c>
      <c r="X13" s="15">
        <f>IF(p_reset=1,0,X13+p_dt*(-u_vel!X13*((1-p_theta)*(Y13-W13)/(2*p_h)+p_theta*IF(u_vel!X13&gt;0,(X13-W13),(Y13-X13))/p_h)-v_vel!X13*((1-p_theta)*(X12-X14)/(2*p_h)+p_theta*IF(v_vel!X13&gt;0,(X13-X14),(X12-X13))/p_h)+p_nu*(Y13+W13+X12+X14-4*X13)/p_h^2))</f>
        <v/>
      </c>
      <c r="Y13" s="15">
        <f>IF(p_reset=1,0,Y13+p_dt*(-u_vel!Y13*((1-p_theta)*(Z13-X13)/(2*p_h)+p_theta*IF(u_vel!Y13&gt;0,(Y13-X13),(Z13-Y13))/p_h)-v_vel!Y13*((1-p_theta)*(Y12-Y14)/(2*p_h)+p_theta*IF(v_vel!Y13&gt;0,(Y13-Y14),(Y12-Y13))/p_h)+p_nu*(Z13+X13+Y12+Y14-4*Y13)/p_h^2))</f>
        <v/>
      </c>
      <c r="Z13" s="15">
        <f>IF(p_reset=1,0,Z13+p_dt*(-u_vel!Z13*((1-p_theta)*(AA13-Y13)/(2*p_h)+p_theta*IF(u_vel!Z13&gt;0,(Z13-Y13),(AA13-Z13))/p_h)-v_vel!Z13*((1-p_theta)*(Z12-Z14)/(2*p_h)+p_theta*IF(v_vel!Z13&gt;0,(Z13-Z14),(Z12-Z13))/p_h)+p_nu*(AA13+Y13+Z12+Z14-4*Z13)/p_h^2))</f>
        <v/>
      </c>
      <c r="AA13" s="15">
        <f>IF(p_reset=1,0,AA13+p_dt*(-u_vel!AA13*((1-p_theta)*(AB13-Z13)/(2*p_h)+p_theta*IF(u_vel!AA13&gt;0,(AA13-Z13),(AB13-AA13))/p_h)-v_vel!AA13*((1-p_theta)*(AA12-AA14)/(2*p_h)+p_theta*IF(v_vel!AA13&gt;0,(AA13-AA14),(AA12-AA13))/p_h)+p_nu*(AB13+Z13+AA12+AA14-4*AA13)/p_h^2))</f>
        <v/>
      </c>
      <c r="AB13" s="15">
        <f>IF(p_reset=1,0,AB13+p_dt*(-u_vel!AB13*((1-p_theta)*(AC13-AA13)/(2*p_h)+p_theta*IF(u_vel!AB13&gt;0,(AB13-AA13),(AC13-AB13))/p_h)-v_vel!AB13*((1-p_theta)*(AB12-AB14)/(2*p_h)+p_theta*IF(v_vel!AB13&gt;0,(AB13-AB14),(AB12-AB13))/p_h)+p_nu*(AC13+AA13+AB12+AB14-4*AB13)/p_h^2))</f>
        <v/>
      </c>
      <c r="AC13" s="15">
        <f>IF(p_reset=1,0,AC13+p_dt*(-u_vel!AC13*((1-p_theta)*(AD13-AB13)/(2*p_h)+p_theta*IF(u_vel!AC13&gt;0,(AC13-AB13),(AD13-AC13))/p_h)-v_vel!AC13*((1-p_theta)*(AC12-AC14)/(2*p_h)+p_theta*IF(v_vel!AC13&gt;0,(AC13-AC14),(AC12-AC13))/p_h)+p_nu*(AD13+AB13+AC12+AC14-4*AC13)/p_h^2))</f>
        <v/>
      </c>
      <c r="AD13" s="15">
        <f>IF(p_reset=1,0,AD13+p_dt*(-u_vel!AD13*((1-p_theta)*(AE13-AC13)/(2*p_h)+p_theta*IF(u_vel!AD13&gt;0,(AD13-AC13),(AE13-AD13))/p_h)-v_vel!AD13*((1-p_theta)*(AD12-AD14)/(2*p_h)+p_theta*IF(v_vel!AD13&gt;0,(AD13-AD14),(AD12-AD13))/p_h)+p_nu*(AE13+AC13+AD12+AD14-4*AD13)/p_h^2))</f>
        <v/>
      </c>
      <c r="AE13" s="15">
        <f>IF(p_reset=1,0,AE13+p_dt*(-u_vel!AE13*((1-p_theta)*(AF13-AD13)/(2*p_h)+p_theta*IF(u_vel!AE13&gt;0,(AE13-AD13),(AF13-AE13))/p_h)-v_vel!AE13*((1-p_theta)*(AE12-AE14)/(2*p_h)+p_theta*IF(v_vel!AE13&gt;0,(AE13-AE14),(AE12-AE13))/p_h)+p_nu*(AF13+AD13+AE12+AE14-4*AE13)/p_h^2))</f>
        <v/>
      </c>
      <c r="AF13" s="15">
        <f>IF(p_reset=1,0,AF13+p_dt*(-u_vel!AF13*((1-p_theta)*(AG13-AE13)/(2*p_h)+p_theta*IF(u_vel!AF13&gt;0,(AF13-AE13),(AG13-AF13))/p_h)-v_vel!AF13*((1-p_theta)*(AF12-AF14)/(2*p_h)+p_theta*IF(v_vel!AF13&gt;0,(AF13-AF14),(AF12-AF13))/p_h)+p_nu*(AG13+AE13+AF12+AF14-4*AF13)/p_h^2))</f>
        <v/>
      </c>
      <c r="AG13" s="15">
        <f>IF(p_reset=1,0,AG13+p_dt*(-u_vel!AG13*((1-p_theta)*(AH13-AF13)/(2*p_h)+p_theta*IF(u_vel!AG13&gt;0,(AG13-AF13),(AH13-AG13))/p_h)-v_vel!AG13*((1-p_theta)*(AG12-AG14)/(2*p_h)+p_theta*IF(v_vel!AG13&gt;0,(AG13-AG14),(AG12-AG13))/p_h)+p_nu*(AH13+AF13+AG12+AG14-4*AG13)/p_h^2))</f>
        <v/>
      </c>
      <c r="AH13" s="15">
        <f>-2*Psi!AG13/p_h^2</f>
        <v/>
      </c>
    </row>
    <row r="14">
      <c r="A14" s="7">
        <f>A13-p_h</f>
        <v/>
      </c>
      <c r="B14" s="15">
        <f>-2*Psi!C14/p_h^2</f>
        <v/>
      </c>
      <c r="C14" s="15">
        <f>IF(p_reset=1,0,C14+p_dt*(-u_vel!C14*((1-p_theta)*(D14-B14)/(2*p_h)+p_theta*IF(u_vel!C14&gt;0,(C14-B14),(D14-C14))/p_h)-v_vel!C14*((1-p_theta)*(C13-C15)/(2*p_h)+p_theta*IF(v_vel!C14&gt;0,(C14-C15),(C13-C14))/p_h)+p_nu*(D14+B14+C13+C15-4*C14)/p_h^2))</f>
        <v/>
      </c>
      <c r="D14" s="15">
        <f>IF(p_reset=1,0,D14+p_dt*(-u_vel!D14*((1-p_theta)*(E14-C14)/(2*p_h)+p_theta*IF(u_vel!D14&gt;0,(D14-C14),(E14-D14))/p_h)-v_vel!D14*((1-p_theta)*(D13-D15)/(2*p_h)+p_theta*IF(v_vel!D14&gt;0,(D14-D15),(D13-D14))/p_h)+p_nu*(E14+C14+D13+D15-4*D14)/p_h^2))</f>
        <v/>
      </c>
      <c r="E14" s="15">
        <f>IF(p_reset=1,0,E14+p_dt*(-u_vel!E14*((1-p_theta)*(F14-D14)/(2*p_h)+p_theta*IF(u_vel!E14&gt;0,(E14-D14),(F14-E14))/p_h)-v_vel!E14*((1-p_theta)*(E13-E15)/(2*p_h)+p_theta*IF(v_vel!E14&gt;0,(E14-E15),(E13-E14))/p_h)+p_nu*(F14+D14+E13+E15-4*E14)/p_h^2))</f>
        <v/>
      </c>
      <c r="F14" s="15">
        <f>IF(p_reset=1,0,F14+p_dt*(-u_vel!F14*((1-p_theta)*(G14-E14)/(2*p_h)+p_theta*IF(u_vel!F14&gt;0,(F14-E14),(G14-F14))/p_h)-v_vel!F14*((1-p_theta)*(F13-F15)/(2*p_h)+p_theta*IF(v_vel!F14&gt;0,(F14-F15),(F13-F14))/p_h)+p_nu*(G14+E14+F13+F15-4*F14)/p_h^2))</f>
        <v/>
      </c>
      <c r="G14" s="15">
        <f>IF(p_reset=1,0,G14+p_dt*(-u_vel!G14*((1-p_theta)*(H14-F14)/(2*p_h)+p_theta*IF(u_vel!G14&gt;0,(G14-F14),(H14-G14))/p_h)-v_vel!G14*((1-p_theta)*(G13-G15)/(2*p_h)+p_theta*IF(v_vel!G14&gt;0,(G14-G15),(G13-G14))/p_h)+p_nu*(H14+F14+G13+G15-4*G14)/p_h^2))</f>
        <v/>
      </c>
      <c r="H14" s="15">
        <f>IF(p_reset=1,0,H14+p_dt*(-u_vel!H14*((1-p_theta)*(I14-G14)/(2*p_h)+p_theta*IF(u_vel!H14&gt;0,(H14-G14),(I14-H14))/p_h)-v_vel!H14*((1-p_theta)*(H13-H15)/(2*p_h)+p_theta*IF(v_vel!H14&gt;0,(H14-H15),(H13-H14))/p_h)+p_nu*(I14+G14+H13+H15-4*H14)/p_h^2))</f>
        <v/>
      </c>
      <c r="I14" s="15">
        <f>IF(p_reset=1,0,I14+p_dt*(-u_vel!I14*((1-p_theta)*(J14-H14)/(2*p_h)+p_theta*IF(u_vel!I14&gt;0,(I14-H14),(J14-I14))/p_h)-v_vel!I14*((1-p_theta)*(I13-I15)/(2*p_h)+p_theta*IF(v_vel!I14&gt;0,(I14-I15),(I13-I14))/p_h)+p_nu*(J14+H14+I13+I15-4*I14)/p_h^2))</f>
        <v/>
      </c>
      <c r="J14" s="15">
        <f>IF(p_reset=1,0,J14+p_dt*(-u_vel!J14*((1-p_theta)*(K14-I14)/(2*p_h)+p_theta*IF(u_vel!J14&gt;0,(J14-I14),(K14-J14))/p_h)-v_vel!J14*((1-p_theta)*(J13-J15)/(2*p_h)+p_theta*IF(v_vel!J14&gt;0,(J14-J15),(J13-J14))/p_h)+p_nu*(K14+I14+J13+J15-4*J14)/p_h^2))</f>
        <v/>
      </c>
      <c r="K14" s="15">
        <f>IF(p_reset=1,0,K14+p_dt*(-u_vel!K14*((1-p_theta)*(L14-J14)/(2*p_h)+p_theta*IF(u_vel!K14&gt;0,(K14-J14),(L14-K14))/p_h)-v_vel!K14*((1-p_theta)*(K13-K15)/(2*p_h)+p_theta*IF(v_vel!K14&gt;0,(K14-K15),(K13-K14))/p_h)+p_nu*(L14+J14+K13+K15-4*K14)/p_h^2))</f>
        <v/>
      </c>
      <c r="L14" s="15">
        <f>IF(p_reset=1,0,L14+p_dt*(-u_vel!L14*((1-p_theta)*(M14-K14)/(2*p_h)+p_theta*IF(u_vel!L14&gt;0,(L14-K14),(M14-L14))/p_h)-v_vel!L14*((1-p_theta)*(L13-L15)/(2*p_h)+p_theta*IF(v_vel!L14&gt;0,(L14-L15),(L13-L14))/p_h)+p_nu*(M14+K14+L13+L15-4*L14)/p_h^2))</f>
        <v/>
      </c>
      <c r="M14" s="15">
        <f>IF(p_reset=1,0,M14+p_dt*(-u_vel!M14*((1-p_theta)*(N14-L14)/(2*p_h)+p_theta*IF(u_vel!M14&gt;0,(M14-L14),(N14-M14))/p_h)-v_vel!M14*((1-p_theta)*(M13-M15)/(2*p_h)+p_theta*IF(v_vel!M14&gt;0,(M14-M15),(M13-M14))/p_h)+p_nu*(N14+L14+M13+M15-4*M14)/p_h^2))</f>
        <v/>
      </c>
      <c r="N14" s="15">
        <f>IF(p_reset=1,0,N14+p_dt*(-u_vel!N14*((1-p_theta)*(O14-M14)/(2*p_h)+p_theta*IF(u_vel!N14&gt;0,(N14-M14),(O14-N14))/p_h)-v_vel!N14*((1-p_theta)*(N13-N15)/(2*p_h)+p_theta*IF(v_vel!N14&gt;0,(N14-N15),(N13-N14))/p_h)+p_nu*(O14+M14+N13+N15-4*N14)/p_h^2))</f>
        <v/>
      </c>
      <c r="O14" s="15">
        <f>IF(p_reset=1,0,O14+p_dt*(-u_vel!O14*((1-p_theta)*(P14-N14)/(2*p_h)+p_theta*IF(u_vel!O14&gt;0,(O14-N14),(P14-O14))/p_h)-v_vel!O14*((1-p_theta)*(O13-O15)/(2*p_h)+p_theta*IF(v_vel!O14&gt;0,(O14-O15),(O13-O14))/p_h)+p_nu*(P14+N14+O13+O15-4*O14)/p_h^2))</f>
        <v/>
      </c>
      <c r="P14" s="15">
        <f>IF(p_reset=1,0,P14+p_dt*(-u_vel!P14*((1-p_theta)*(Q14-O14)/(2*p_h)+p_theta*IF(u_vel!P14&gt;0,(P14-O14),(Q14-P14))/p_h)-v_vel!P14*((1-p_theta)*(P13-P15)/(2*p_h)+p_theta*IF(v_vel!P14&gt;0,(P14-P15),(P13-P14))/p_h)+p_nu*(Q14+O14+P13+P15-4*P14)/p_h^2))</f>
        <v/>
      </c>
      <c r="Q14" s="15">
        <f>IF(p_reset=1,0,Q14+p_dt*(-u_vel!Q14*((1-p_theta)*(R14-P14)/(2*p_h)+p_theta*IF(u_vel!Q14&gt;0,(Q14-P14),(R14-Q14))/p_h)-v_vel!Q14*((1-p_theta)*(Q13-Q15)/(2*p_h)+p_theta*IF(v_vel!Q14&gt;0,(Q14-Q15),(Q13-Q14))/p_h)+p_nu*(R14+P14+Q13+Q15-4*Q14)/p_h^2))</f>
        <v/>
      </c>
      <c r="R14" s="15">
        <f>IF(p_reset=1,0,R14+p_dt*(-u_vel!R14*((1-p_theta)*(S14-Q14)/(2*p_h)+p_theta*IF(u_vel!R14&gt;0,(R14-Q14),(S14-R14))/p_h)-v_vel!R14*((1-p_theta)*(R13-R15)/(2*p_h)+p_theta*IF(v_vel!R14&gt;0,(R14-R15),(R13-R14))/p_h)+p_nu*(S14+Q14+R13+R15-4*R14)/p_h^2))</f>
        <v/>
      </c>
      <c r="S14" s="15">
        <f>IF(p_reset=1,0,S14+p_dt*(-u_vel!S14*((1-p_theta)*(T14-R14)/(2*p_h)+p_theta*IF(u_vel!S14&gt;0,(S14-R14),(T14-S14))/p_h)-v_vel!S14*((1-p_theta)*(S13-S15)/(2*p_h)+p_theta*IF(v_vel!S14&gt;0,(S14-S15),(S13-S14))/p_h)+p_nu*(T14+R14+S13+S15-4*S14)/p_h^2))</f>
        <v/>
      </c>
      <c r="T14" s="15">
        <f>IF(p_reset=1,0,T14+p_dt*(-u_vel!T14*((1-p_theta)*(U14-S14)/(2*p_h)+p_theta*IF(u_vel!T14&gt;0,(T14-S14),(U14-T14))/p_h)-v_vel!T14*((1-p_theta)*(T13-T15)/(2*p_h)+p_theta*IF(v_vel!T14&gt;0,(T14-T15),(T13-T14))/p_h)+p_nu*(U14+S14+T13+T15-4*T14)/p_h^2))</f>
        <v/>
      </c>
      <c r="U14" s="15">
        <f>IF(p_reset=1,0,U14+p_dt*(-u_vel!U14*((1-p_theta)*(V14-T14)/(2*p_h)+p_theta*IF(u_vel!U14&gt;0,(U14-T14),(V14-U14))/p_h)-v_vel!U14*((1-p_theta)*(U13-U15)/(2*p_h)+p_theta*IF(v_vel!U14&gt;0,(U14-U15),(U13-U14))/p_h)+p_nu*(V14+T14+U13+U15-4*U14)/p_h^2))</f>
        <v/>
      </c>
      <c r="V14" s="15">
        <f>IF(p_reset=1,0,V14+p_dt*(-u_vel!V14*((1-p_theta)*(W14-U14)/(2*p_h)+p_theta*IF(u_vel!V14&gt;0,(V14-U14),(W14-V14))/p_h)-v_vel!V14*((1-p_theta)*(V13-V15)/(2*p_h)+p_theta*IF(v_vel!V14&gt;0,(V14-V15),(V13-V14))/p_h)+p_nu*(W14+U14+V13+V15-4*V14)/p_h^2))</f>
        <v/>
      </c>
      <c r="W14" s="15">
        <f>IF(p_reset=1,0,W14+p_dt*(-u_vel!W14*((1-p_theta)*(X14-V14)/(2*p_h)+p_theta*IF(u_vel!W14&gt;0,(W14-V14),(X14-W14))/p_h)-v_vel!W14*((1-p_theta)*(W13-W15)/(2*p_h)+p_theta*IF(v_vel!W14&gt;0,(W14-W15),(W13-W14))/p_h)+p_nu*(X14+V14+W13+W15-4*W14)/p_h^2))</f>
        <v/>
      </c>
      <c r="X14" s="15">
        <f>IF(p_reset=1,0,X14+p_dt*(-u_vel!X14*((1-p_theta)*(Y14-W14)/(2*p_h)+p_theta*IF(u_vel!X14&gt;0,(X14-W14),(Y14-X14))/p_h)-v_vel!X14*((1-p_theta)*(X13-X15)/(2*p_h)+p_theta*IF(v_vel!X14&gt;0,(X14-X15),(X13-X14))/p_h)+p_nu*(Y14+W14+X13+X15-4*X14)/p_h^2))</f>
        <v/>
      </c>
      <c r="Y14" s="15">
        <f>IF(p_reset=1,0,Y14+p_dt*(-u_vel!Y14*((1-p_theta)*(Z14-X14)/(2*p_h)+p_theta*IF(u_vel!Y14&gt;0,(Y14-X14),(Z14-Y14))/p_h)-v_vel!Y14*((1-p_theta)*(Y13-Y15)/(2*p_h)+p_theta*IF(v_vel!Y14&gt;0,(Y14-Y15),(Y13-Y14))/p_h)+p_nu*(Z14+X14+Y13+Y15-4*Y14)/p_h^2))</f>
        <v/>
      </c>
      <c r="Z14" s="15">
        <f>IF(p_reset=1,0,Z14+p_dt*(-u_vel!Z14*((1-p_theta)*(AA14-Y14)/(2*p_h)+p_theta*IF(u_vel!Z14&gt;0,(Z14-Y14),(AA14-Z14))/p_h)-v_vel!Z14*((1-p_theta)*(Z13-Z15)/(2*p_h)+p_theta*IF(v_vel!Z14&gt;0,(Z14-Z15),(Z13-Z14))/p_h)+p_nu*(AA14+Y14+Z13+Z15-4*Z14)/p_h^2))</f>
        <v/>
      </c>
      <c r="AA14" s="15">
        <f>IF(p_reset=1,0,AA14+p_dt*(-u_vel!AA14*((1-p_theta)*(AB14-Z14)/(2*p_h)+p_theta*IF(u_vel!AA14&gt;0,(AA14-Z14),(AB14-AA14))/p_h)-v_vel!AA14*((1-p_theta)*(AA13-AA15)/(2*p_h)+p_theta*IF(v_vel!AA14&gt;0,(AA14-AA15),(AA13-AA14))/p_h)+p_nu*(AB14+Z14+AA13+AA15-4*AA14)/p_h^2))</f>
        <v/>
      </c>
      <c r="AB14" s="15">
        <f>IF(p_reset=1,0,AB14+p_dt*(-u_vel!AB14*((1-p_theta)*(AC14-AA14)/(2*p_h)+p_theta*IF(u_vel!AB14&gt;0,(AB14-AA14),(AC14-AB14))/p_h)-v_vel!AB14*((1-p_theta)*(AB13-AB15)/(2*p_h)+p_theta*IF(v_vel!AB14&gt;0,(AB14-AB15),(AB13-AB14))/p_h)+p_nu*(AC14+AA14+AB13+AB15-4*AB14)/p_h^2))</f>
        <v/>
      </c>
      <c r="AC14" s="15">
        <f>IF(p_reset=1,0,AC14+p_dt*(-u_vel!AC14*((1-p_theta)*(AD14-AB14)/(2*p_h)+p_theta*IF(u_vel!AC14&gt;0,(AC14-AB14),(AD14-AC14))/p_h)-v_vel!AC14*((1-p_theta)*(AC13-AC15)/(2*p_h)+p_theta*IF(v_vel!AC14&gt;0,(AC14-AC15),(AC13-AC14))/p_h)+p_nu*(AD14+AB14+AC13+AC15-4*AC14)/p_h^2))</f>
        <v/>
      </c>
      <c r="AD14" s="15">
        <f>IF(p_reset=1,0,AD14+p_dt*(-u_vel!AD14*((1-p_theta)*(AE14-AC14)/(2*p_h)+p_theta*IF(u_vel!AD14&gt;0,(AD14-AC14),(AE14-AD14))/p_h)-v_vel!AD14*((1-p_theta)*(AD13-AD15)/(2*p_h)+p_theta*IF(v_vel!AD14&gt;0,(AD14-AD15),(AD13-AD14))/p_h)+p_nu*(AE14+AC14+AD13+AD15-4*AD14)/p_h^2))</f>
        <v/>
      </c>
      <c r="AE14" s="15">
        <f>IF(p_reset=1,0,AE14+p_dt*(-u_vel!AE14*((1-p_theta)*(AF14-AD14)/(2*p_h)+p_theta*IF(u_vel!AE14&gt;0,(AE14-AD14),(AF14-AE14))/p_h)-v_vel!AE14*((1-p_theta)*(AE13-AE15)/(2*p_h)+p_theta*IF(v_vel!AE14&gt;0,(AE14-AE15),(AE13-AE14))/p_h)+p_nu*(AF14+AD14+AE13+AE15-4*AE14)/p_h^2))</f>
        <v/>
      </c>
      <c r="AF14" s="15">
        <f>IF(p_reset=1,0,AF14+p_dt*(-u_vel!AF14*((1-p_theta)*(AG14-AE14)/(2*p_h)+p_theta*IF(u_vel!AF14&gt;0,(AF14-AE14),(AG14-AF14))/p_h)-v_vel!AF14*((1-p_theta)*(AF13-AF15)/(2*p_h)+p_theta*IF(v_vel!AF14&gt;0,(AF14-AF15),(AF13-AF14))/p_h)+p_nu*(AG14+AE14+AF13+AF15-4*AF14)/p_h^2))</f>
        <v/>
      </c>
      <c r="AG14" s="15">
        <f>IF(p_reset=1,0,AG14+p_dt*(-u_vel!AG14*((1-p_theta)*(AH14-AF14)/(2*p_h)+p_theta*IF(u_vel!AG14&gt;0,(AG14-AF14),(AH14-AG14))/p_h)-v_vel!AG14*((1-p_theta)*(AG13-AG15)/(2*p_h)+p_theta*IF(v_vel!AG14&gt;0,(AG14-AG15),(AG13-AG14))/p_h)+p_nu*(AH14+AF14+AG13+AG15-4*AG14)/p_h^2))</f>
        <v/>
      </c>
      <c r="AH14" s="15">
        <f>-2*Psi!AG14/p_h^2</f>
        <v/>
      </c>
    </row>
    <row r="15">
      <c r="A15" s="7">
        <f>A14-p_h</f>
        <v/>
      </c>
      <c r="B15" s="15">
        <f>-2*Psi!C15/p_h^2</f>
        <v/>
      </c>
      <c r="C15" s="15">
        <f>IF(p_reset=1,0,C15+p_dt*(-u_vel!C15*((1-p_theta)*(D15-B15)/(2*p_h)+p_theta*IF(u_vel!C15&gt;0,(C15-B15),(D15-C15))/p_h)-v_vel!C15*((1-p_theta)*(C14-C16)/(2*p_h)+p_theta*IF(v_vel!C15&gt;0,(C15-C16),(C14-C15))/p_h)+p_nu*(D15+B15+C14+C16-4*C15)/p_h^2))</f>
        <v/>
      </c>
      <c r="D15" s="15">
        <f>IF(p_reset=1,0,D15+p_dt*(-u_vel!D15*((1-p_theta)*(E15-C15)/(2*p_h)+p_theta*IF(u_vel!D15&gt;0,(D15-C15),(E15-D15))/p_h)-v_vel!D15*((1-p_theta)*(D14-D16)/(2*p_h)+p_theta*IF(v_vel!D15&gt;0,(D15-D16),(D14-D15))/p_h)+p_nu*(E15+C15+D14+D16-4*D15)/p_h^2))</f>
        <v/>
      </c>
      <c r="E15" s="15">
        <f>IF(p_reset=1,0,E15+p_dt*(-u_vel!E15*((1-p_theta)*(F15-D15)/(2*p_h)+p_theta*IF(u_vel!E15&gt;0,(E15-D15),(F15-E15))/p_h)-v_vel!E15*((1-p_theta)*(E14-E16)/(2*p_h)+p_theta*IF(v_vel!E15&gt;0,(E15-E16),(E14-E15))/p_h)+p_nu*(F15+D15+E14+E16-4*E15)/p_h^2))</f>
        <v/>
      </c>
      <c r="F15" s="15">
        <f>IF(p_reset=1,0,F15+p_dt*(-u_vel!F15*((1-p_theta)*(G15-E15)/(2*p_h)+p_theta*IF(u_vel!F15&gt;0,(F15-E15),(G15-F15))/p_h)-v_vel!F15*((1-p_theta)*(F14-F16)/(2*p_h)+p_theta*IF(v_vel!F15&gt;0,(F15-F16),(F14-F15))/p_h)+p_nu*(G15+E15+F14+F16-4*F15)/p_h^2))</f>
        <v/>
      </c>
      <c r="G15" s="15">
        <f>IF(p_reset=1,0,G15+p_dt*(-u_vel!G15*((1-p_theta)*(H15-F15)/(2*p_h)+p_theta*IF(u_vel!G15&gt;0,(G15-F15),(H15-G15))/p_h)-v_vel!G15*((1-p_theta)*(G14-G16)/(2*p_h)+p_theta*IF(v_vel!G15&gt;0,(G15-G16),(G14-G15))/p_h)+p_nu*(H15+F15+G14+G16-4*G15)/p_h^2))</f>
        <v/>
      </c>
      <c r="H15" s="15">
        <f>IF(p_reset=1,0,H15+p_dt*(-u_vel!H15*((1-p_theta)*(I15-G15)/(2*p_h)+p_theta*IF(u_vel!H15&gt;0,(H15-G15),(I15-H15))/p_h)-v_vel!H15*((1-p_theta)*(H14-H16)/(2*p_h)+p_theta*IF(v_vel!H15&gt;0,(H15-H16),(H14-H15))/p_h)+p_nu*(I15+G15+H14+H16-4*H15)/p_h^2))</f>
        <v/>
      </c>
      <c r="I15" s="15">
        <f>IF(p_reset=1,0,I15+p_dt*(-u_vel!I15*((1-p_theta)*(J15-H15)/(2*p_h)+p_theta*IF(u_vel!I15&gt;0,(I15-H15),(J15-I15))/p_h)-v_vel!I15*((1-p_theta)*(I14-I16)/(2*p_h)+p_theta*IF(v_vel!I15&gt;0,(I15-I16),(I14-I15))/p_h)+p_nu*(J15+H15+I14+I16-4*I15)/p_h^2))</f>
        <v/>
      </c>
      <c r="J15" s="15">
        <f>IF(p_reset=1,0,J15+p_dt*(-u_vel!J15*((1-p_theta)*(K15-I15)/(2*p_h)+p_theta*IF(u_vel!J15&gt;0,(J15-I15),(K15-J15))/p_h)-v_vel!J15*((1-p_theta)*(J14-J16)/(2*p_h)+p_theta*IF(v_vel!J15&gt;0,(J15-J16),(J14-J15))/p_h)+p_nu*(K15+I15+J14+J16-4*J15)/p_h^2))</f>
        <v/>
      </c>
      <c r="K15" s="15">
        <f>IF(p_reset=1,0,K15+p_dt*(-u_vel!K15*((1-p_theta)*(L15-J15)/(2*p_h)+p_theta*IF(u_vel!K15&gt;0,(K15-J15),(L15-K15))/p_h)-v_vel!K15*((1-p_theta)*(K14-K16)/(2*p_h)+p_theta*IF(v_vel!K15&gt;0,(K15-K16),(K14-K15))/p_h)+p_nu*(L15+J15+K14+K16-4*K15)/p_h^2))</f>
        <v/>
      </c>
      <c r="L15" s="15">
        <f>IF(p_reset=1,0,L15+p_dt*(-u_vel!L15*((1-p_theta)*(M15-K15)/(2*p_h)+p_theta*IF(u_vel!L15&gt;0,(L15-K15),(M15-L15))/p_h)-v_vel!L15*((1-p_theta)*(L14-L16)/(2*p_h)+p_theta*IF(v_vel!L15&gt;0,(L15-L16),(L14-L15))/p_h)+p_nu*(M15+K15+L14+L16-4*L15)/p_h^2))</f>
        <v/>
      </c>
      <c r="M15" s="15">
        <f>IF(p_reset=1,0,M15+p_dt*(-u_vel!M15*((1-p_theta)*(N15-L15)/(2*p_h)+p_theta*IF(u_vel!M15&gt;0,(M15-L15),(N15-M15))/p_h)-v_vel!M15*((1-p_theta)*(M14-M16)/(2*p_h)+p_theta*IF(v_vel!M15&gt;0,(M15-M16),(M14-M15))/p_h)+p_nu*(N15+L15+M14+M16-4*M15)/p_h^2))</f>
        <v/>
      </c>
      <c r="N15" s="15">
        <f>IF(p_reset=1,0,N15+p_dt*(-u_vel!N15*((1-p_theta)*(O15-M15)/(2*p_h)+p_theta*IF(u_vel!N15&gt;0,(N15-M15),(O15-N15))/p_h)-v_vel!N15*((1-p_theta)*(N14-N16)/(2*p_h)+p_theta*IF(v_vel!N15&gt;0,(N15-N16),(N14-N15))/p_h)+p_nu*(O15+M15+N14+N16-4*N15)/p_h^2))</f>
        <v/>
      </c>
      <c r="O15" s="15">
        <f>IF(p_reset=1,0,O15+p_dt*(-u_vel!O15*((1-p_theta)*(P15-N15)/(2*p_h)+p_theta*IF(u_vel!O15&gt;0,(O15-N15),(P15-O15))/p_h)-v_vel!O15*((1-p_theta)*(O14-O16)/(2*p_h)+p_theta*IF(v_vel!O15&gt;0,(O15-O16),(O14-O15))/p_h)+p_nu*(P15+N15+O14+O16-4*O15)/p_h^2))</f>
        <v/>
      </c>
      <c r="P15" s="15">
        <f>IF(p_reset=1,0,P15+p_dt*(-u_vel!P15*((1-p_theta)*(Q15-O15)/(2*p_h)+p_theta*IF(u_vel!P15&gt;0,(P15-O15),(Q15-P15))/p_h)-v_vel!P15*((1-p_theta)*(P14-P16)/(2*p_h)+p_theta*IF(v_vel!P15&gt;0,(P15-P16),(P14-P15))/p_h)+p_nu*(Q15+O15+P14+P16-4*P15)/p_h^2))</f>
        <v/>
      </c>
      <c r="Q15" s="15">
        <f>IF(p_reset=1,0,Q15+p_dt*(-u_vel!Q15*((1-p_theta)*(R15-P15)/(2*p_h)+p_theta*IF(u_vel!Q15&gt;0,(Q15-P15),(R15-Q15))/p_h)-v_vel!Q15*((1-p_theta)*(Q14-Q16)/(2*p_h)+p_theta*IF(v_vel!Q15&gt;0,(Q15-Q16),(Q14-Q15))/p_h)+p_nu*(R15+P15+Q14+Q16-4*Q15)/p_h^2))</f>
        <v/>
      </c>
      <c r="R15" s="15">
        <f>IF(p_reset=1,0,R15+p_dt*(-u_vel!R15*((1-p_theta)*(S15-Q15)/(2*p_h)+p_theta*IF(u_vel!R15&gt;0,(R15-Q15),(S15-R15))/p_h)-v_vel!R15*((1-p_theta)*(R14-R16)/(2*p_h)+p_theta*IF(v_vel!R15&gt;0,(R15-R16),(R14-R15))/p_h)+p_nu*(S15+Q15+R14+R16-4*R15)/p_h^2))</f>
        <v/>
      </c>
      <c r="S15" s="15">
        <f>IF(p_reset=1,0,S15+p_dt*(-u_vel!S15*((1-p_theta)*(T15-R15)/(2*p_h)+p_theta*IF(u_vel!S15&gt;0,(S15-R15),(T15-S15))/p_h)-v_vel!S15*((1-p_theta)*(S14-S16)/(2*p_h)+p_theta*IF(v_vel!S15&gt;0,(S15-S16),(S14-S15))/p_h)+p_nu*(T15+R15+S14+S16-4*S15)/p_h^2))</f>
        <v/>
      </c>
      <c r="T15" s="15">
        <f>IF(p_reset=1,0,T15+p_dt*(-u_vel!T15*((1-p_theta)*(U15-S15)/(2*p_h)+p_theta*IF(u_vel!T15&gt;0,(T15-S15),(U15-T15))/p_h)-v_vel!T15*((1-p_theta)*(T14-T16)/(2*p_h)+p_theta*IF(v_vel!T15&gt;0,(T15-T16),(T14-T15))/p_h)+p_nu*(U15+S15+T14+T16-4*T15)/p_h^2))</f>
        <v/>
      </c>
      <c r="U15" s="15">
        <f>IF(p_reset=1,0,U15+p_dt*(-u_vel!U15*((1-p_theta)*(V15-T15)/(2*p_h)+p_theta*IF(u_vel!U15&gt;0,(U15-T15),(V15-U15))/p_h)-v_vel!U15*((1-p_theta)*(U14-U16)/(2*p_h)+p_theta*IF(v_vel!U15&gt;0,(U15-U16),(U14-U15))/p_h)+p_nu*(V15+T15+U14+U16-4*U15)/p_h^2))</f>
        <v/>
      </c>
      <c r="V15" s="15">
        <f>IF(p_reset=1,0,V15+p_dt*(-u_vel!V15*((1-p_theta)*(W15-U15)/(2*p_h)+p_theta*IF(u_vel!V15&gt;0,(V15-U15),(W15-V15))/p_h)-v_vel!V15*((1-p_theta)*(V14-V16)/(2*p_h)+p_theta*IF(v_vel!V15&gt;0,(V15-V16),(V14-V15))/p_h)+p_nu*(W15+U15+V14+V16-4*V15)/p_h^2))</f>
        <v/>
      </c>
      <c r="W15" s="15">
        <f>IF(p_reset=1,0,W15+p_dt*(-u_vel!W15*((1-p_theta)*(X15-V15)/(2*p_h)+p_theta*IF(u_vel!W15&gt;0,(W15-V15),(X15-W15))/p_h)-v_vel!W15*((1-p_theta)*(W14-W16)/(2*p_h)+p_theta*IF(v_vel!W15&gt;0,(W15-W16),(W14-W15))/p_h)+p_nu*(X15+V15+W14+W16-4*W15)/p_h^2))</f>
        <v/>
      </c>
      <c r="X15" s="15">
        <f>IF(p_reset=1,0,X15+p_dt*(-u_vel!X15*((1-p_theta)*(Y15-W15)/(2*p_h)+p_theta*IF(u_vel!X15&gt;0,(X15-W15),(Y15-X15))/p_h)-v_vel!X15*((1-p_theta)*(X14-X16)/(2*p_h)+p_theta*IF(v_vel!X15&gt;0,(X15-X16),(X14-X15))/p_h)+p_nu*(Y15+W15+X14+X16-4*X15)/p_h^2))</f>
        <v/>
      </c>
      <c r="Y15" s="15">
        <f>IF(p_reset=1,0,Y15+p_dt*(-u_vel!Y15*((1-p_theta)*(Z15-X15)/(2*p_h)+p_theta*IF(u_vel!Y15&gt;0,(Y15-X15),(Z15-Y15))/p_h)-v_vel!Y15*((1-p_theta)*(Y14-Y16)/(2*p_h)+p_theta*IF(v_vel!Y15&gt;0,(Y15-Y16),(Y14-Y15))/p_h)+p_nu*(Z15+X15+Y14+Y16-4*Y15)/p_h^2))</f>
        <v/>
      </c>
      <c r="Z15" s="15">
        <f>IF(p_reset=1,0,Z15+p_dt*(-u_vel!Z15*((1-p_theta)*(AA15-Y15)/(2*p_h)+p_theta*IF(u_vel!Z15&gt;0,(Z15-Y15),(AA15-Z15))/p_h)-v_vel!Z15*((1-p_theta)*(Z14-Z16)/(2*p_h)+p_theta*IF(v_vel!Z15&gt;0,(Z15-Z16),(Z14-Z15))/p_h)+p_nu*(AA15+Y15+Z14+Z16-4*Z15)/p_h^2))</f>
        <v/>
      </c>
      <c r="AA15" s="15">
        <f>IF(p_reset=1,0,AA15+p_dt*(-u_vel!AA15*((1-p_theta)*(AB15-Z15)/(2*p_h)+p_theta*IF(u_vel!AA15&gt;0,(AA15-Z15),(AB15-AA15))/p_h)-v_vel!AA15*((1-p_theta)*(AA14-AA16)/(2*p_h)+p_theta*IF(v_vel!AA15&gt;0,(AA15-AA16),(AA14-AA15))/p_h)+p_nu*(AB15+Z15+AA14+AA16-4*AA15)/p_h^2))</f>
        <v/>
      </c>
      <c r="AB15" s="15">
        <f>IF(p_reset=1,0,AB15+p_dt*(-u_vel!AB15*((1-p_theta)*(AC15-AA15)/(2*p_h)+p_theta*IF(u_vel!AB15&gt;0,(AB15-AA15),(AC15-AB15))/p_h)-v_vel!AB15*((1-p_theta)*(AB14-AB16)/(2*p_h)+p_theta*IF(v_vel!AB15&gt;0,(AB15-AB16),(AB14-AB15))/p_h)+p_nu*(AC15+AA15+AB14+AB16-4*AB15)/p_h^2))</f>
        <v/>
      </c>
      <c r="AC15" s="15">
        <f>IF(p_reset=1,0,AC15+p_dt*(-u_vel!AC15*((1-p_theta)*(AD15-AB15)/(2*p_h)+p_theta*IF(u_vel!AC15&gt;0,(AC15-AB15),(AD15-AC15))/p_h)-v_vel!AC15*((1-p_theta)*(AC14-AC16)/(2*p_h)+p_theta*IF(v_vel!AC15&gt;0,(AC15-AC16),(AC14-AC15))/p_h)+p_nu*(AD15+AB15+AC14+AC16-4*AC15)/p_h^2))</f>
        <v/>
      </c>
      <c r="AD15" s="15">
        <f>IF(p_reset=1,0,AD15+p_dt*(-u_vel!AD15*((1-p_theta)*(AE15-AC15)/(2*p_h)+p_theta*IF(u_vel!AD15&gt;0,(AD15-AC15),(AE15-AD15))/p_h)-v_vel!AD15*((1-p_theta)*(AD14-AD16)/(2*p_h)+p_theta*IF(v_vel!AD15&gt;0,(AD15-AD16),(AD14-AD15))/p_h)+p_nu*(AE15+AC15+AD14+AD16-4*AD15)/p_h^2))</f>
        <v/>
      </c>
      <c r="AE15" s="15">
        <f>IF(p_reset=1,0,AE15+p_dt*(-u_vel!AE15*((1-p_theta)*(AF15-AD15)/(2*p_h)+p_theta*IF(u_vel!AE15&gt;0,(AE15-AD15),(AF15-AE15))/p_h)-v_vel!AE15*((1-p_theta)*(AE14-AE16)/(2*p_h)+p_theta*IF(v_vel!AE15&gt;0,(AE15-AE16),(AE14-AE15))/p_h)+p_nu*(AF15+AD15+AE14+AE16-4*AE15)/p_h^2))</f>
        <v/>
      </c>
      <c r="AF15" s="15">
        <f>IF(p_reset=1,0,AF15+p_dt*(-u_vel!AF15*((1-p_theta)*(AG15-AE15)/(2*p_h)+p_theta*IF(u_vel!AF15&gt;0,(AF15-AE15),(AG15-AF15))/p_h)-v_vel!AF15*((1-p_theta)*(AF14-AF16)/(2*p_h)+p_theta*IF(v_vel!AF15&gt;0,(AF15-AF16),(AF14-AF15))/p_h)+p_nu*(AG15+AE15+AF14+AF16-4*AF15)/p_h^2))</f>
        <v/>
      </c>
      <c r="AG15" s="15">
        <f>IF(p_reset=1,0,AG15+p_dt*(-u_vel!AG15*((1-p_theta)*(AH15-AF15)/(2*p_h)+p_theta*IF(u_vel!AG15&gt;0,(AG15-AF15),(AH15-AG15))/p_h)-v_vel!AG15*((1-p_theta)*(AG14-AG16)/(2*p_h)+p_theta*IF(v_vel!AG15&gt;0,(AG15-AG16),(AG14-AG15))/p_h)+p_nu*(AH15+AF15+AG14+AG16-4*AG15)/p_h^2))</f>
        <v/>
      </c>
      <c r="AH15" s="15">
        <f>-2*Psi!AG15/p_h^2</f>
        <v/>
      </c>
    </row>
    <row r="16">
      <c r="A16" s="7">
        <f>A15-p_h</f>
        <v/>
      </c>
      <c r="B16" s="15">
        <f>-2*Psi!C16/p_h^2</f>
        <v/>
      </c>
      <c r="C16" s="15">
        <f>IF(p_reset=1,0,C16+p_dt*(-u_vel!C16*((1-p_theta)*(D16-B16)/(2*p_h)+p_theta*IF(u_vel!C16&gt;0,(C16-B16),(D16-C16))/p_h)-v_vel!C16*((1-p_theta)*(C15-C17)/(2*p_h)+p_theta*IF(v_vel!C16&gt;0,(C16-C17),(C15-C16))/p_h)+p_nu*(D16+B16+C15+C17-4*C16)/p_h^2))</f>
        <v/>
      </c>
      <c r="D16" s="15">
        <f>IF(p_reset=1,0,D16+p_dt*(-u_vel!D16*((1-p_theta)*(E16-C16)/(2*p_h)+p_theta*IF(u_vel!D16&gt;0,(D16-C16),(E16-D16))/p_h)-v_vel!D16*((1-p_theta)*(D15-D17)/(2*p_h)+p_theta*IF(v_vel!D16&gt;0,(D16-D17),(D15-D16))/p_h)+p_nu*(E16+C16+D15+D17-4*D16)/p_h^2))</f>
        <v/>
      </c>
      <c r="E16" s="15">
        <f>IF(p_reset=1,0,E16+p_dt*(-u_vel!E16*((1-p_theta)*(F16-D16)/(2*p_h)+p_theta*IF(u_vel!E16&gt;0,(E16-D16),(F16-E16))/p_h)-v_vel!E16*((1-p_theta)*(E15-E17)/(2*p_h)+p_theta*IF(v_vel!E16&gt;0,(E16-E17),(E15-E16))/p_h)+p_nu*(F16+D16+E15+E17-4*E16)/p_h^2))</f>
        <v/>
      </c>
      <c r="F16" s="15">
        <f>IF(p_reset=1,0,F16+p_dt*(-u_vel!F16*((1-p_theta)*(G16-E16)/(2*p_h)+p_theta*IF(u_vel!F16&gt;0,(F16-E16),(G16-F16))/p_h)-v_vel!F16*((1-p_theta)*(F15-F17)/(2*p_h)+p_theta*IF(v_vel!F16&gt;0,(F16-F17),(F15-F16))/p_h)+p_nu*(G16+E16+F15+F17-4*F16)/p_h^2))</f>
        <v/>
      </c>
      <c r="G16" s="15">
        <f>IF(p_reset=1,0,G16+p_dt*(-u_vel!G16*((1-p_theta)*(H16-F16)/(2*p_h)+p_theta*IF(u_vel!G16&gt;0,(G16-F16),(H16-G16))/p_h)-v_vel!G16*((1-p_theta)*(G15-G17)/(2*p_h)+p_theta*IF(v_vel!G16&gt;0,(G16-G17),(G15-G16))/p_h)+p_nu*(H16+F16+G15+G17-4*G16)/p_h^2))</f>
        <v/>
      </c>
      <c r="H16" s="15">
        <f>IF(p_reset=1,0,H16+p_dt*(-u_vel!H16*((1-p_theta)*(I16-G16)/(2*p_h)+p_theta*IF(u_vel!H16&gt;0,(H16-G16),(I16-H16))/p_h)-v_vel!H16*((1-p_theta)*(H15-H17)/(2*p_h)+p_theta*IF(v_vel!H16&gt;0,(H16-H17),(H15-H16))/p_h)+p_nu*(I16+G16+H15+H17-4*H16)/p_h^2))</f>
        <v/>
      </c>
      <c r="I16" s="15">
        <f>IF(p_reset=1,0,I16+p_dt*(-u_vel!I16*((1-p_theta)*(J16-H16)/(2*p_h)+p_theta*IF(u_vel!I16&gt;0,(I16-H16),(J16-I16))/p_h)-v_vel!I16*((1-p_theta)*(I15-I17)/(2*p_h)+p_theta*IF(v_vel!I16&gt;0,(I16-I17),(I15-I16))/p_h)+p_nu*(J16+H16+I15+I17-4*I16)/p_h^2))</f>
        <v/>
      </c>
      <c r="J16" s="15">
        <f>IF(p_reset=1,0,J16+p_dt*(-u_vel!J16*((1-p_theta)*(K16-I16)/(2*p_h)+p_theta*IF(u_vel!J16&gt;0,(J16-I16),(K16-J16))/p_h)-v_vel!J16*((1-p_theta)*(J15-J17)/(2*p_h)+p_theta*IF(v_vel!J16&gt;0,(J16-J17),(J15-J16))/p_h)+p_nu*(K16+I16+J15+J17-4*J16)/p_h^2))</f>
        <v/>
      </c>
      <c r="K16" s="15">
        <f>IF(p_reset=1,0,K16+p_dt*(-u_vel!K16*((1-p_theta)*(L16-J16)/(2*p_h)+p_theta*IF(u_vel!K16&gt;0,(K16-J16),(L16-K16))/p_h)-v_vel!K16*((1-p_theta)*(K15-K17)/(2*p_h)+p_theta*IF(v_vel!K16&gt;0,(K16-K17),(K15-K16))/p_h)+p_nu*(L16+J16+K15+K17-4*K16)/p_h^2))</f>
        <v/>
      </c>
      <c r="L16" s="15">
        <f>IF(p_reset=1,0,L16+p_dt*(-u_vel!L16*((1-p_theta)*(M16-K16)/(2*p_h)+p_theta*IF(u_vel!L16&gt;0,(L16-K16),(M16-L16))/p_h)-v_vel!L16*((1-p_theta)*(L15-L17)/(2*p_h)+p_theta*IF(v_vel!L16&gt;0,(L16-L17),(L15-L16))/p_h)+p_nu*(M16+K16+L15+L17-4*L16)/p_h^2))</f>
        <v/>
      </c>
      <c r="M16" s="15">
        <f>IF(p_reset=1,0,M16+p_dt*(-u_vel!M16*((1-p_theta)*(N16-L16)/(2*p_h)+p_theta*IF(u_vel!M16&gt;0,(M16-L16),(N16-M16))/p_h)-v_vel!M16*((1-p_theta)*(M15-M17)/(2*p_h)+p_theta*IF(v_vel!M16&gt;0,(M16-M17),(M15-M16))/p_h)+p_nu*(N16+L16+M15+M17-4*M16)/p_h^2))</f>
        <v/>
      </c>
      <c r="N16" s="15">
        <f>IF(p_reset=1,0,N16+p_dt*(-u_vel!N16*((1-p_theta)*(O16-M16)/(2*p_h)+p_theta*IF(u_vel!N16&gt;0,(N16-M16),(O16-N16))/p_h)-v_vel!N16*((1-p_theta)*(N15-N17)/(2*p_h)+p_theta*IF(v_vel!N16&gt;0,(N16-N17),(N15-N16))/p_h)+p_nu*(O16+M16+N15+N17-4*N16)/p_h^2))</f>
        <v/>
      </c>
      <c r="O16" s="15">
        <f>IF(p_reset=1,0,O16+p_dt*(-u_vel!O16*((1-p_theta)*(P16-N16)/(2*p_h)+p_theta*IF(u_vel!O16&gt;0,(O16-N16),(P16-O16))/p_h)-v_vel!O16*((1-p_theta)*(O15-O17)/(2*p_h)+p_theta*IF(v_vel!O16&gt;0,(O16-O17),(O15-O16))/p_h)+p_nu*(P16+N16+O15+O17-4*O16)/p_h^2))</f>
        <v/>
      </c>
      <c r="P16" s="15">
        <f>IF(p_reset=1,0,P16+p_dt*(-u_vel!P16*((1-p_theta)*(Q16-O16)/(2*p_h)+p_theta*IF(u_vel!P16&gt;0,(P16-O16),(Q16-P16))/p_h)-v_vel!P16*((1-p_theta)*(P15-P17)/(2*p_h)+p_theta*IF(v_vel!P16&gt;0,(P16-P17),(P15-P16))/p_h)+p_nu*(Q16+O16+P15+P17-4*P16)/p_h^2))</f>
        <v/>
      </c>
      <c r="Q16" s="15">
        <f>IF(p_reset=1,0,Q16+p_dt*(-u_vel!Q16*((1-p_theta)*(R16-P16)/(2*p_h)+p_theta*IF(u_vel!Q16&gt;0,(Q16-P16),(R16-Q16))/p_h)-v_vel!Q16*((1-p_theta)*(Q15-Q17)/(2*p_h)+p_theta*IF(v_vel!Q16&gt;0,(Q16-Q17),(Q15-Q16))/p_h)+p_nu*(R16+P16+Q15+Q17-4*Q16)/p_h^2))</f>
        <v/>
      </c>
      <c r="R16" s="15">
        <f>IF(p_reset=1,0,R16+p_dt*(-u_vel!R16*((1-p_theta)*(S16-Q16)/(2*p_h)+p_theta*IF(u_vel!R16&gt;0,(R16-Q16),(S16-R16))/p_h)-v_vel!R16*((1-p_theta)*(R15-R17)/(2*p_h)+p_theta*IF(v_vel!R16&gt;0,(R16-R17),(R15-R16))/p_h)+p_nu*(S16+Q16+R15+R17-4*R16)/p_h^2))</f>
        <v/>
      </c>
      <c r="S16" s="15">
        <f>IF(p_reset=1,0,S16+p_dt*(-u_vel!S16*((1-p_theta)*(T16-R16)/(2*p_h)+p_theta*IF(u_vel!S16&gt;0,(S16-R16),(T16-S16))/p_h)-v_vel!S16*((1-p_theta)*(S15-S17)/(2*p_h)+p_theta*IF(v_vel!S16&gt;0,(S16-S17),(S15-S16))/p_h)+p_nu*(T16+R16+S15+S17-4*S16)/p_h^2))</f>
        <v/>
      </c>
      <c r="T16" s="15">
        <f>IF(p_reset=1,0,T16+p_dt*(-u_vel!T16*((1-p_theta)*(U16-S16)/(2*p_h)+p_theta*IF(u_vel!T16&gt;0,(T16-S16),(U16-T16))/p_h)-v_vel!T16*((1-p_theta)*(T15-T17)/(2*p_h)+p_theta*IF(v_vel!T16&gt;0,(T16-T17),(T15-T16))/p_h)+p_nu*(U16+S16+T15+T17-4*T16)/p_h^2))</f>
        <v/>
      </c>
      <c r="U16" s="15">
        <f>IF(p_reset=1,0,U16+p_dt*(-u_vel!U16*((1-p_theta)*(V16-T16)/(2*p_h)+p_theta*IF(u_vel!U16&gt;0,(U16-T16),(V16-U16))/p_h)-v_vel!U16*((1-p_theta)*(U15-U17)/(2*p_h)+p_theta*IF(v_vel!U16&gt;0,(U16-U17),(U15-U16))/p_h)+p_nu*(V16+T16+U15+U17-4*U16)/p_h^2))</f>
        <v/>
      </c>
      <c r="V16" s="15">
        <f>IF(p_reset=1,0,V16+p_dt*(-u_vel!V16*((1-p_theta)*(W16-U16)/(2*p_h)+p_theta*IF(u_vel!V16&gt;0,(V16-U16),(W16-V16))/p_h)-v_vel!V16*((1-p_theta)*(V15-V17)/(2*p_h)+p_theta*IF(v_vel!V16&gt;0,(V16-V17),(V15-V16))/p_h)+p_nu*(W16+U16+V15+V17-4*V16)/p_h^2))</f>
        <v/>
      </c>
      <c r="W16" s="15">
        <f>IF(p_reset=1,0,W16+p_dt*(-u_vel!W16*((1-p_theta)*(X16-V16)/(2*p_h)+p_theta*IF(u_vel!W16&gt;0,(W16-V16),(X16-W16))/p_h)-v_vel!W16*((1-p_theta)*(W15-W17)/(2*p_h)+p_theta*IF(v_vel!W16&gt;0,(W16-W17),(W15-W16))/p_h)+p_nu*(X16+V16+W15+W17-4*W16)/p_h^2))</f>
        <v/>
      </c>
      <c r="X16" s="15">
        <f>IF(p_reset=1,0,X16+p_dt*(-u_vel!X16*((1-p_theta)*(Y16-W16)/(2*p_h)+p_theta*IF(u_vel!X16&gt;0,(X16-W16),(Y16-X16))/p_h)-v_vel!X16*((1-p_theta)*(X15-X17)/(2*p_h)+p_theta*IF(v_vel!X16&gt;0,(X16-X17),(X15-X16))/p_h)+p_nu*(Y16+W16+X15+X17-4*X16)/p_h^2))</f>
        <v/>
      </c>
      <c r="Y16" s="15">
        <f>IF(p_reset=1,0,Y16+p_dt*(-u_vel!Y16*((1-p_theta)*(Z16-X16)/(2*p_h)+p_theta*IF(u_vel!Y16&gt;0,(Y16-X16),(Z16-Y16))/p_h)-v_vel!Y16*((1-p_theta)*(Y15-Y17)/(2*p_h)+p_theta*IF(v_vel!Y16&gt;0,(Y16-Y17),(Y15-Y16))/p_h)+p_nu*(Z16+X16+Y15+Y17-4*Y16)/p_h^2))</f>
        <v/>
      </c>
      <c r="Z16" s="15">
        <f>IF(p_reset=1,0,Z16+p_dt*(-u_vel!Z16*((1-p_theta)*(AA16-Y16)/(2*p_h)+p_theta*IF(u_vel!Z16&gt;0,(Z16-Y16),(AA16-Z16))/p_h)-v_vel!Z16*((1-p_theta)*(Z15-Z17)/(2*p_h)+p_theta*IF(v_vel!Z16&gt;0,(Z16-Z17),(Z15-Z16))/p_h)+p_nu*(AA16+Y16+Z15+Z17-4*Z16)/p_h^2))</f>
        <v/>
      </c>
      <c r="AA16" s="15">
        <f>IF(p_reset=1,0,AA16+p_dt*(-u_vel!AA16*((1-p_theta)*(AB16-Z16)/(2*p_h)+p_theta*IF(u_vel!AA16&gt;0,(AA16-Z16),(AB16-AA16))/p_h)-v_vel!AA16*((1-p_theta)*(AA15-AA17)/(2*p_h)+p_theta*IF(v_vel!AA16&gt;0,(AA16-AA17),(AA15-AA16))/p_h)+p_nu*(AB16+Z16+AA15+AA17-4*AA16)/p_h^2))</f>
        <v/>
      </c>
      <c r="AB16" s="15">
        <f>IF(p_reset=1,0,AB16+p_dt*(-u_vel!AB16*((1-p_theta)*(AC16-AA16)/(2*p_h)+p_theta*IF(u_vel!AB16&gt;0,(AB16-AA16),(AC16-AB16))/p_h)-v_vel!AB16*((1-p_theta)*(AB15-AB17)/(2*p_h)+p_theta*IF(v_vel!AB16&gt;0,(AB16-AB17),(AB15-AB16))/p_h)+p_nu*(AC16+AA16+AB15+AB17-4*AB16)/p_h^2))</f>
        <v/>
      </c>
      <c r="AC16" s="15">
        <f>IF(p_reset=1,0,AC16+p_dt*(-u_vel!AC16*((1-p_theta)*(AD16-AB16)/(2*p_h)+p_theta*IF(u_vel!AC16&gt;0,(AC16-AB16),(AD16-AC16))/p_h)-v_vel!AC16*((1-p_theta)*(AC15-AC17)/(2*p_h)+p_theta*IF(v_vel!AC16&gt;0,(AC16-AC17),(AC15-AC16))/p_h)+p_nu*(AD16+AB16+AC15+AC17-4*AC16)/p_h^2))</f>
        <v/>
      </c>
      <c r="AD16" s="15">
        <f>IF(p_reset=1,0,AD16+p_dt*(-u_vel!AD16*((1-p_theta)*(AE16-AC16)/(2*p_h)+p_theta*IF(u_vel!AD16&gt;0,(AD16-AC16),(AE16-AD16))/p_h)-v_vel!AD16*((1-p_theta)*(AD15-AD17)/(2*p_h)+p_theta*IF(v_vel!AD16&gt;0,(AD16-AD17),(AD15-AD16))/p_h)+p_nu*(AE16+AC16+AD15+AD17-4*AD16)/p_h^2))</f>
        <v/>
      </c>
      <c r="AE16" s="15">
        <f>IF(p_reset=1,0,AE16+p_dt*(-u_vel!AE16*((1-p_theta)*(AF16-AD16)/(2*p_h)+p_theta*IF(u_vel!AE16&gt;0,(AE16-AD16),(AF16-AE16))/p_h)-v_vel!AE16*((1-p_theta)*(AE15-AE17)/(2*p_h)+p_theta*IF(v_vel!AE16&gt;0,(AE16-AE17),(AE15-AE16))/p_h)+p_nu*(AF16+AD16+AE15+AE17-4*AE16)/p_h^2))</f>
        <v/>
      </c>
      <c r="AF16" s="15">
        <f>IF(p_reset=1,0,AF16+p_dt*(-u_vel!AF16*((1-p_theta)*(AG16-AE16)/(2*p_h)+p_theta*IF(u_vel!AF16&gt;0,(AF16-AE16),(AG16-AF16))/p_h)-v_vel!AF16*((1-p_theta)*(AF15-AF17)/(2*p_h)+p_theta*IF(v_vel!AF16&gt;0,(AF16-AF17),(AF15-AF16))/p_h)+p_nu*(AG16+AE16+AF15+AF17-4*AF16)/p_h^2))</f>
        <v/>
      </c>
      <c r="AG16" s="15">
        <f>IF(p_reset=1,0,AG16+p_dt*(-u_vel!AG16*((1-p_theta)*(AH16-AF16)/(2*p_h)+p_theta*IF(u_vel!AG16&gt;0,(AG16-AF16),(AH16-AG16))/p_h)-v_vel!AG16*((1-p_theta)*(AG15-AG17)/(2*p_h)+p_theta*IF(v_vel!AG16&gt;0,(AG16-AG17),(AG15-AG16))/p_h)+p_nu*(AH16+AF16+AG15+AG17-4*AG16)/p_h^2))</f>
        <v/>
      </c>
      <c r="AH16" s="15">
        <f>-2*Psi!AG16/p_h^2</f>
        <v/>
      </c>
    </row>
    <row r="17">
      <c r="A17" s="7">
        <f>A16-p_h</f>
        <v/>
      </c>
      <c r="B17" s="15">
        <f>-2*Psi!C17/p_h^2</f>
        <v/>
      </c>
      <c r="C17" s="15">
        <f>IF(p_reset=1,0,C17+p_dt*(-u_vel!C17*((1-p_theta)*(D17-B17)/(2*p_h)+p_theta*IF(u_vel!C17&gt;0,(C17-B17),(D17-C17))/p_h)-v_vel!C17*((1-p_theta)*(C16-C18)/(2*p_h)+p_theta*IF(v_vel!C17&gt;0,(C17-C18),(C16-C17))/p_h)+p_nu*(D17+B17+C16+C18-4*C17)/p_h^2))</f>
        <v/>
      </c>
      <c r="D17" s="15">
        <f>IF(p_reset=1,0,D17+p_dt*(-u_vel!D17*((1-p_theta)*(E17-C17)/(2*p_h)+p_theta*IF(u_vel!D17&gt;0,(D17-C17),(E17-D17))/p_h)-v_vel!D17*((1-p_theta)*(D16-D18)/(2*p_h)+p_theta*IF(v_vel!D17&gt;0,(D17-D18),(D16-D17))/p_h)+p_nu*(E17+C17+D16+D18-4*D17)/p_h^2))</f>
        <v/>
      </c>
      <c r="E17" s="15">
        <f>IF(p_reset=1,0,E17+p_dt*(-u_vel!E17*((1-p_theta)*(F17-D17)/(2*p_h)+p_theta*IF(u_vel!E17&gt;0,(E17-D17),(F17-E17))/p_h)-v_vel!E17*((1-p_theta)*(E16-E18)/(2*p_h)+p_theta*IF(v_vel!E17&gt;0,(E17-E18),(E16-E17))/p_h)+p_nu*(F17+D17+E16+E18-4*E17)/p_h^2))</f>
        <v/>
      </c>
      <c r="F17" s="15">
        <f>IF(p_reset=1,0,F17+p_dt*(-u_vel!F17*((1-p_theta)*(G17-E17)/(2*p_h)+p_theta*IF(u_vel!F17&gt;0,(F17-E17),(G17-F17))/p_h)-v_vel!F17*((1-p_theta)*(F16-F18)/(2*p_h)+p_theta*IF(v_vel!F17&gt;0,(F17-F18),(F16-F17))/p_h)+p_nu*(G17+E17+F16+F18-4*F17)/p_h^2))</f>
        <v/>
      </c>
      <c r="G17" s="15">
        <f>IF(p_reset=1,0,G17+p_dt*(-u_vel!G17*((1-p_theta)*(H17-F17)/(2*p_h)+p_theta*IF(u_vel!G17&gt;0,(G17-F17),(H17-G17))/p_h)-v_vel!G17*((1-p_theta)*(G16-G18)/(2*p_h)+p_theta*IF(v_vel!G17&gt;0,(G17-G18),(G16-G17))/p_h)+p_nu*(H17+F17+G16+G18-4*G17)/p_h^2))</f>
        <v/>
      </c>
      <c r="H17" s="15">
        <f>IF(p_reset=1,0,H17+p_dt*(-u_vel!H17*((1-p_theta)*(I17-G17)/(2*p_h)+p_theta*IF(u_vel!H17&gt;0,(H17-G17),(I17-H17))/p_h)-v_vel!H17*((1-p_theta)*(H16-H18)/(2*p_h)+p_theta*IF(v_vel!H17&gt;0,(H17-H18),(H16-H17))/p_h)+p_nu*(I17+G17+H16+H18-4*H17)/p_h^2))</f>
        <v/>
      </c>
      <c r="I17" s="15">
        <f>IF(p_reset=1,0,I17+p_dt*(-u_vel!I17*((1-p_theta)*(J17-H17)/(2*p_h)+p_theta*IF(u_vel!I17&gt;0,(I17-H17),(J17-I17))/p_h)-v_vel!I17*((1-p_theta)*(I16-I18)/(2*p_h)+p_theta*IF(v_vel!I17&gt;0,(I17-I18),(I16-I17))/p_h)+p_nu*(J17+H17+I16+I18-4*I17)/p_h^2))</f>
        <v/>
      </c>
      <c r="J17" s="15">
        <f>IF(p_reset=1,0,J17+p_dt*(-u_vel!J17*((1-p_theta)*(K17-I17)/(2*p_h)+p_theta*IF(u_vel!J17&gt;0,(J17-I17),(K17-J17))/p_h)-v_vel!J17*((1-p_theta)*(J16-J18)/(2*p_h)+p_theta*IF(v_vel!J17&gt;0,(J17-J18),(J16-J17))/p_h)+p_nu*(K17+I17+J16+J18-4*J17)/p_h^2))</f>
        <v/>
      </c>
      <c r="K17" s="15">
        <f>IF(p_reset=1,0,K17+p_dt*(-u_vel!K17*((1-p_theta)*(L17-J17)/(2*p_h)+p_theta*IF(u_vel!K17&gt;0,(K17-J17),(L17-K17))/p_h)-v_vel!K17*((1-p_theta)*(K16-K18)/(2*p_h)+p_theta*IF(v_vel!K17&gt;0,(K17-K18),(K16-K17))/p_h)+p_nu*(L17+J17+K16+K18-4*K17)/p_h^2))</f>
        <v/>
      </c>
      <c r="L17" s="15">
        <f>IF(p_reset=1,0,L17+p_dt*(-u_vel!L17*((1-p_theta)*(M17-K17)/(2*p_h)+p_theta*IF(u_vel!L17&gt;0,(L17-K17),(M17-L17))/p_h)-v_vel!L17*((1-p_theta)*(L16-L18)/(2*p_h)+p_theta*IF(v_vel!L17&gt;0,(L17-L18),(L16-L17))/p_h)+p_nu*(M17+K17+L16+L18-4*L17)/p_h^2))</f>
        <v/>
      </c>
      <c r="M17" s="15">
        <f>IF(p_reset=1,0,M17+p_dt*(-u_vel!M17*((1-p_theta)*(N17-L17)/(2*p_h)+p_theta*IF(u_vel!M17&gt;0,(M17-L17),(N17-M17))/p_h)-v_vel!M17*((1-p_theta)*(M16-M18)/(2*p_h)+p_theta*IF(v_vel!M17&gt;0,(M17-M18),(M16-M17))/p_h)+p_nu*(N17+L17+M16+M18-4*M17)/p_h^2))</f>
        <v/>
      </c>
      <c r="N17" s="15">
        <f>IF(p_reset=1,0,N17+p_dt*(-u_vel!N17*((1-p_theta)*(O17-M17)/(2*p_h)+p_theta*IF(u_vel!N17&gt;0,(N17-M17),(O17-N17))/p_h)-v_vel!N17*((1-p_theta)*(N16-N18)/(2*p_h)+p_theta*IF(v_vel!N17&gt;0,(N17-N18),(N16-N17))/p_h)+p_nu*(O17+M17+N16+N18-4*N17)/p_h^2))</f>
        <v/>
      </c>
      <c r="O17" s="15">
        <f>IF(p_reset=1,0,O17+p_dt*(-u_vel!O17*((1-p_theta)*(P17-N17)/(2*p_h)+p_theta*IF(u_vel!O17&gt;0,(O17-N17),(P17-O17))/p_h)-v_vel!O17*((1-p_theta)*(O16-O18)/(2*p_h)+p_theta*IF(v_vel!O17&gt;0,(O17-O18),(O16-O17))/p_h)+p_nu*(P17+N17+O16+O18-4*O17)/p_h^2))</f>
        <v/>
      </c>
      <c r="P17" s="15">
        <f>IF(p_reset=1,0,P17+p_dt*(-u_vel!P17*((1-p_theta)*(Q17-O17)/(2*p_h)+p_theta*IF(u_vel!P17&gt;0,(P17-O17),(Q17-P17))/p_h)-v_vel!P17*((1-p_theta)*(P16-P18)/(2*p_h)+p_theta*IF(v_vel!P17&gt;0,(P17-P18),(P16-P17))/p_h)+p_nu*(Q17+O17+P16+P18-4*P17)/p_h^2))</f>
        <v/>
      </c>
      <c r="Q17" s="15">
        <f>IF(p_reset=1,0,Q17+p_dt*(-u_vel!Q17*((1-p_theta)*(R17-P17)/(2*p_h)+p_theta*IF(u_vel!Q17&gt;0,(Q17-P17),(R17-Q17))/p_h)-v_vel!Q17*((1-p_theta)*(Q16-Q18)/(2*p_h)+p_theta*IF(v_vel!Q17&gt;0,(Q17-Q18),(Q16-Q17))/p_h)+p_nu*(R17+P17+Q16+Q18-4*Q17)/p_h^2))</f>
        <v/>
      </c>
      <c r="R17" s="15">
        <f>IF(p_reset=1,0,R17+p_dt*(-u_vel!R17*((1-p_theta)*(S17-Q17)/(2*p_h)+p_theta*IF(u_vel!R17&gt;0,(R17-Q17),(S17-R17))/p_h)-v_vel!R17*((1-p_theta)*(R16-R18)/(2*p_h)+p_theta*IF(v_vel!R17&gt;0,(R17-R18),(R16-R17))/p_h)+p_nu*(S17+Q17+R16+R18-4*R17)/p_h^2))</f>
        <v/>
      </c>
      <c r="S17" s="15">
        <f>IF(p_reset=1,0,S17+p_dt*(-u_vel!S17*((1-p_theta)*(T17-R17)/(2*p_h)+p_theta*IF(u_vel!S17&gt;0,(S17-R17),(T17-S17))/p_h)-v_vel!S17*((1-p_theta)*(S16-S18)/(2*p_h)+p_theta*IF(v_vel!S17&gt;0,(S17-S18),(S16-S17))/p_h)+p_nu*(T17+R17+S16+S18-4*S17)/p_h^2))</f>
        <v/>
      </c>
      <c r="T17" s="15">
        <f>IF(p_reset=1,0,T17+p_dt*(-u_vel!T17*((1-p_theta)*(U17-S17)/(2*p_h)+p_theta*IF(u_vel!T17&gt;0,(T17-S17),(U17-T17))/p_h)-v_vel!T17*((1-p_theta)*(T16-T18)/(2*p_h)+p_theta*IF(v_vel!T17&gt;0,(T17-T18),(T16-T17))/p_h)+p_nu*(U17+S17+T16+T18-4*T17)/p_h^2))</f>
        <v/>
      </c>
      <c r="U17" s="15">
        <f>IF(p_reset=1,0,U17+p_dt*(-u_vel!U17*((1-p_theta)*(V17-T17)/(2*p_h)+p_theta*IF(u_vel!U17&gt;0,(U17-T17),(V17-U17))/p_h)-v_vel!U17*((1-p_theta)*(U16-U18)/(2*p_h)+p_theta*IF(v_vel!U17&gt;0,(U17-U18),(U16-U17))/p_h)+p_nu*(V17+T17+U16+U18-4*U17)/p_h^2))</f>
        <v/>
      </c>
      <c r="V17" s="15">
        <f>IF(p_reset=1,0,V17+p_dt*(-u_vel!V17*((1-p_theta)*(W17-U17)/(2*p_h)+p_theta*IF(u_vel!V17&gt;0,(V17-U17),(W17-V17))/p_h)-v_vel!V17*((1-p_theta)*(V16-V18)/(2*p_h)+p_theta*IF(v_vel!V17&gt;0,(V17-V18),(V16-V17))/p_h)+p_nu*(W17+U17+V16+V18-4*V17)/p_h^2))</f>
        <v/>
      </c>
      <c r="W17" s="15">
        <f>IF(p_reset=1,0,W17+p_dt*(-u_vel!W17*((1-p_theta)*(X17-V17)/(2*p_h)+p_theta*IF(u_vel!W17&gt;0,(W17-V17),(X17-W17))/p_h)-v_vel!W17*((1-p_theta)*(W16-W18)/(2*p_h)+p_theta*IF(v_vel!W17&gt;0,(W17-W18),(W16-W17))/p_h)+p_nu*(X17+V17+W16+W18-4*W17)/p_h^2))</f>
        <v/>
      </c>
      <c r="X17" s="15">
        <f>IF(p_reset=1,0,X17+p_dt*(-u_vel!X17*((1-p_theta)*(Y17-W17)/(2*p_h)+p_theta*IF(u_vel!X17&gt;0,(X17-W17),(Y17-X17))/p_h)-v_vel!X17*((1-p_theta)*(X16-X18)/(2*p_h)+p_theta*IF(v_vel!X17&gt;0,(X17-X18),(X16-X17))/p_h)+p_nu*(Y17+W17+X16+X18-4*X17)/p_h^2))</f>
        <v/>
      </c>
      <c r="Y17" s="15">
        <f>IF(p_reset=1,0,Y17+p_dt*(-u_vel!Y17*((1-p_theta)*(Z17-X17)/(2*p_h)+p_theta*IF(u_vel!Y17&gt;0,(Y17-X17),(Z17-Y17))/p_h)-v_vel!Y17*((1-p_theta)*(Y16-Y18)/(2*p_h)+p_theta*IF(v_vel!Y17&gt;0,(Y17-Y18),(Y16-Y17))/p_h)+p_nu*(Z17+X17+Y16+Y18-4*Y17)/p_h^2))</f>
        <v/>
      </c>
      <c r="Z17" s="15">
        <f>IF(p_reset=1,0,Z17+p_dt*(-u_vel!Z17*((1-p_theta)*(AA17-Y17)/(2*p_h)+p_theta*IF(u_vel!Z17&gt;0,(Z17-Y17),(AA17-Z17))/p_h)-v_vel!Z17*((1-p_theta)*(Z16-Z18)/(2*p_h)+p_theta*IF(v_vel!Z17&gt;0,(Z17-Z18),(Z16-Z17))/p_h)+p_nu*(AA17+Y17+Z16+Z18-4*Z17)/p_h^2))</f>
        <v/>
      </c>
      <c r="AA17" s="15">
        <f>IF(p_reset=1,0,AA17+p_dt*(-u_vel!AA17*((1-p_theta)*(AB17-Z17)/(2*p_h)+p_theta*IF(u_vel!AA17&gt;0,(AA17-Z17),(AB17-AA17))/p_h)-v_vel!AA17*((1-p_theta)*(AA16-AA18)/(2*p_h)+p_theta*IF(v_vel!AA17&gt;0,(AA17-AA18),(AA16-AA17))/p_h)+p_nu*(AB17+Z17+AA16+AA18-4*AA17)/p_h^2))</f>
        <v/>
      </c>
      <c r="AB17" s="15">
        <f>IF(p_reset=1,0,AB17+p_dt*(-u_vel!AB17*((1-p_theta)*(AC17-AA17)/(2*p_h)+p_theta*IF(u_vel!AB17&gt;0,(AB17-AA17),(AC17-AB17))/p_h)-v_vel!AB17*((1-p_theta)*(AB16-AB18)/(2*p_h)+p_theta*IF(v_vel!AB17&gt;0,(AB17-AB18),(AB16-AB17))/p_h)+p_nu*(AC17+AA17+AB16+AB18-4*AB17)/p_h^2))</f>
        <v/>
      </c>
      <c r="AC17" s="15">
        <f>IF(p_reset=1,0,AC17+p_dt*(-u_vel!AC17*((1-p_theta)*(AD17-AB17)/(2*p_h)+p_theta*IF(u_vel!AC17&gt;0,(AC17-AB17),(AD17-AC17))/p_h)-v_vel!AC17*((1-p_theta)*(AC16-AC18)/(2*p_h)+p_theta*IF(v_vel!AC17&gt;0,(AC17-AC18),(AC16-AC17))/p_h)+p_nu*(AD17+AB17+AC16+AC18-4*AC17)/p_h^2))</f>
        <v/>
      </c>
      <c r="AD17" s="15">
        <f>IF(p_reset=1,0,AD17+p_dt*(-u_vel!AD17*((1-p_theta)*(AE17-AC17)/(2*p_h)+p_theta*IF(u_vel!AD17&gt;0,(AD17-AC17),(AE17-AD17))/p_h)-v_vel!AD17*((1-p_theta)*(AD16-AD18)/(2*p_h)+p_theta*IF(v_vel!AD17&gt;0,(AD17-AD18),(AD16-AD17))/p_h)+p_nu*(AE17+AC17+AD16+AD18-4*AD17)/p_h^2))</f>
        <v/>
      </c>
      <c r="AE17" s="15">
        <f>IF(p_reset=1,0,AE17+p_dt*(-u_vel!AE17*((1-p_theta)*(AF17-AD17)/(2*p_h)+p_theta*IF(u_vel!AE17&gt;0,(AE17-AD17),(AF17-AE17))/p_h)-v_vel!AE17*((1-p_theta)*(AE16-AE18)/(2*p_h)+p_theta*IF(v_vel!AE17&gt;0,(AE17-AE18),(AE16-AE17))/p_h)+p_nu*(AF17+AD17+AE16+AE18-4*AE17)/p_h^2))</f>
        <v/>
      </c>
      <c r="AF17" s="15">
        <f>IF(p_reset=1,0,AF17+p_dt*(-u_vel!AF17*((1-p_theta)*(AG17-AE17)/(2*p_h)+p_theta*IF(u_vel!AF17&gt;0,(AF17-AE17),(AG17-AF17))/p_h)-v_vel!AF17*((1-p_theta)*(AF16-AF18)/(2*p_h)+p_theta*IF(v_vel!AF17&gt;0,(AF17-AF18),(AF16-AF17))/p_h)+p_nu*(AG17+AE17+AF16+AF18-4*AF17)/p_h^2))</f>
        <v/>
      </c>
      <c r="AG17" s="15">
        <f>IF(p_reset=1,0,AG17+p_dt*(-u_vel!AG17*((1-p_theta)*(AH17-AF17)/(2*p_h)+p_theta*IF(u_vel!AG17&gt;0,(AG17-AF17),(AH17-AG17))/p_h)-v_vel!AG17*((1-p_theta)*(AG16-AG18)/(2*p_h)+p_theta*IF(v_vel!AG17&gt;0,(AG17-AG18),(AG16-AG17))/p_h)+p_nu*(AH17+AF17+AG16+AG18-4*AG17)/p_h^2))</f>
        <v/>
      </c>
      <c r="AH17" s="15">
        <f>-2*Psi!AG17/p_h^2</f>
        <v/>
      </c>
    </row>
    <row r="18">
      <c r="A18" s="7">
        <f>A17-p_h</f>
        <v/>
      </c>
      <c r="B18" s="15">
        <f>-2*Psi!C18/p_h^2</f>
        <v/>
      </c>
      <c r="C18" s="15">
        <f>IF(p_reset=1,0,C18+p_dt*(-u_vel!C18*((1-p_theta)*(D18-B18)/(2*p_h)+p_theta*IF(u_vel!C18&gt;0,(C18-B18),(D18-C18))/p_h)-v_vel!C18*((1-p_theta)*(C17-C19)/(2*p_h)+p_theta*IF(v_vel!C18&gt;0,(C18-C19),(C17-C18))/p_h)+p_nu*(D18+B18+C17+C19-4*C18)/p_h^2))</f>
        <v/>
      </c>
      <c r="D18" s="15">
        <f>IF(p_reset=1,0,D18+p_dt*(-u_vel!D18*((1-p_theta)*(E18-C18)/(2*p_h)+p_theta*IF(u_vel!D18&gt;0,(D18-C18),(E18-D18))/p_h)-v_vel!D18*((1-p_theta)*(D17-D19)/(2*p_h)+p_theta*IF(v_vel!D18&gt;0,(D18-D19),(D17-D18))/p_h)+p_nu*(E18+C18+D17+D19-4*D18)/p_h^2))</f>
        <v/>
      </c>
      <c r="E18" s="15">
        <f>IF(p_reset=1,0,E18+p_dt*(-u_vel!E18*((1-p_theta)*(F18-D18)/(2*p_h)+p_theta*IF(u_vel!E18&gt;0,(E18-D18),(F18-E18))/p_h)-v_vel!E18*((1-p_theta)*(E17-E19)/(2*p_h)+p_theta*IF(v_vel!E18&gt;0,(E18-E19),(E17-E18))/p_h)+p_nu*(F18+D18+E17+E19-4*E18)/p_h^2))</f>
        <v/>
      </c>
      <c r="F18" s="15">
        <f>IF(p_reset=1,0,F18+p_dt*(-u_vel!F18*((1-p_theta)*(G18-E18)/(2*p_h)+p_theta*IF(u_vel!F18&gt;0,(F18-E18),(G18-F18))/p_h)-v_vel!F18*((1-p_theta)*(F17-F19)/(2*p_h)+p_theta*IF(v_vel!F18&gt;0,(F18-F19),(F17-F18))/p_h)+p_nu*(G18+E18+F17+F19-4*F18)/p_h^2))</f>
        <v/>
      </c>
      <c r="G18" s="15">
        <f>IF(p_reset=1,0,G18+p_dt*(-u_vel!G18*((1-p_theta)*(H18-F18)/(2*p_h)+p_theta*IF(u_vel!G18&gt;0,(G18-F18),(H18-G18))/p_h)-v_vel!G18*((1-p_theta)*(G17-G19)/(2*p_h)+p_theta*IF(v_vel!G18&gt;0,(G18-G19),(G17-G18))/p_h)+p_nu*(H18+F18+G17+G19-4*G18)/p_h^2))</f>
        <v/>
      </c>
      <c r="H18" s="15">
        <f>IF(p_reset=1,0,H18+p_dt*(-u_vel!H18*((1-p_theta)*(I18-G18)/(2*p_h)+p_theta*IF(u_vel!H18&gt;0,(H18-G18),(I18-H18))/p_h)-v_vel!H18*((1-p_theta)*(H17-H19)/(2*p_h)+p_theta*IF(v_vel!H18&gt;0,(H18-H19),(H17-H18))/p_h)+p_nu*(I18+G18+H17+H19-4*H18)/p_h^2))</f>
        <v/>
      </c>
      <c r="I18" s="15">
        <f>IF(p_reset=1,0,I18+p_dt*(-u_vel!I18*((1-p_theta)*(J18-H18)/(2*p_h)+p_theta*IF(u_vel!I18&gt;0,(I18-H18),(J18-I18))/p_h)-v_vel!I18*((1-p_theta)*(I17-I19)/(2*p_h)+p_theta*IF(v_vel!I18&gt;0,(I18-I19),(I17-I18))/p_h)+p_nu*(J18+H18+I17+I19-4*I18)/p_h^2))</f>
        <v/>
      </c>
      <c r="J18" s="15">
        <f>IF(p_reset=1,0,J18+p_dt*(-u_vel!J18*((1-p_theta)*(K18-I18)/(2*p_h)+p_theta*IF(u_vel!J18&gt;0,(J18-I18),(K18-J18))/p_h)-v_vel!J18*((1-p_theta)*(J17-J19)/(2*p_h)+p_theta*IF(v_vel!J18&gt;0,(J18-J19),(J17-J18))/p_h)+p_nu*(K18+I18+J17+J19-4*J18)/p_h^2))</f>
        <v/>
      </c>
      <c r="K18" s="15">
        <f>IF(p_reset=1,0,K18+p_dt*(-u_vel!K18*((1-p_theta)*(L18-J18)/(2*p_h)+p_theta*IF(u_vel!K18&gt;0,(K18-J18),(L18-K18))/p_h)-v_vel!K18*((1-p_theta)*(K17-K19)/(2*p_h)+p_theta*IF(v_vel!K18&gt;0,(K18-K19),(K17-K18))/p_h)+p_nu*(L18+J18+K17+K19-4*K18)/p_h^2))</f>
        <v/>
      </c>
      <c r="L18" s="15">
        <f>IF(p_reset=1,0,L18+p_dt*(-u_vel!L18*((1-p_theta)*(M18-K18)/(2*p_h)+p_theta*IF(u_vel!L18&gt;0,(L18-K18),(M18-L18))/p_h)-v_vel!L18*((1-p_theta)*(L17-L19)/(2*p_h)+p_theta*IF(v_vel!L18&gt;0,(L18-L19),(L17-L18))/p_h)+p_nu*(M18+K18+L17+L19-4*L18)/p_h^2))</f>
        <v/>
      </c>
      <c r="M18" s="15">
        <f>IF(p_reset=1,0,M18+p_dt*(-u_vel!M18*((1-p_theta)*(N18-L18)/(2*p_h)+p_theta*IF(u_vel!M18&gt;0,(M18-L18),(N18-M18))/p_h)-v_vel!M18*((1-p_theta)*(M17-M19)/(2*p_h)+p_theta*IF(v_vel!M18&gt;0,(M18-M19),(M17-M18))/p_h)+p_nu*(N18+L18+M17+M19-4*M18)/p_h^2))</f>
        <v/>
      </c>
      <c r="N18" s="15">
        <f>IF(p_reset=1,0,N18+p_dt*(-u_vel!N18*((1-p_theta)*(O18-M18)/(2*p_h)+p_theta*IF(u_vel!N18&gt;0,(N18-M18),(O18-N18))/p_h)-v_vel!N18*((1-p_theta)*(N17-N19)/(2*p_h)+p_theta*IF(v_vel!N18&gt;0,(N18-N19),(N17-N18))/p_h)+p_nu*(O18+M18+N17+N19-4*N18)/p_h^2))</f>
        <v/>
      </c>
      <c r="O18" s="15">
        <f>IF(p_reset=1,0,O18+p_dt*(-u_vel!O18*((1-p_theta)*(P18-N18)/(2*p_h)+p_theta*IF(u_vel!O18&gt;0,(O18-N18),(P18-O18))/p_h)-v_vel!O18*((1-p_theta)*(O17-O19)/(2*p_h)+p_theta*IF(v_vel!O18&gt;0,(O18-O19),(O17-O18))/p_h)+p_nu*(P18+N18+O17+O19-4*O18)/p_h^2))</f>
        <v/>
      </c>
      <c r="P18" s="15">
        <f>IF(p_reset=1,0,P18+p_dt*(-u_vel!P18*((1-p_theta)*(Q18-O18)/(2*p_h)+p_theta*IF(u_vel!P18&gt;0,(P18-O18),(Q18-P18))/p_h)-v_vel!P18*((1-p_theta)*(P17-P19)/(2*p_h)+p_theta*IF(v_vel!P18&gt;0,(P18-P19),(P17-P18))/p_h)+p_nu*(Q18+O18+P17+P19-4*P18)/p_h^2))</f>
        <v/>
      </c>
      <c r="Q18" s="15">
        <f>IF(p_reset=1,0,Q18+p_dt*(-u_vel!Q18*((1-p_theta)*(R18-P18)/(2*p_h)+p_theta*IF(u_vel!Q18&gt;0,(Q18-P18),(R18-Q18))/p_h)-v_vel!Q18*((1-p_theta)*(Q17-Q19)/(2*p_h)+p_theta*IF(v_vel!Q18&gt;0,(Q18-Q19),(Q17-Q18))/p_h)+p_nu*(R18+P18+Q17+Q19-4*Q18)/p_h^2))</f>
        <v/>
      </c>
      <c r="R18" s="15">
        <f>IF(p_reset=1,0,R18+p_dt*(-u_vel!R18*((1-p_theta)*(S18-Q18)/(2*p_h)+p_theta*IF(u_vel!R18&gt;0,(R18-Q18),(S18-R18))/p_h)-v_vel!R18*((1-p_theta)*(R17-R19)/(2*p_h)+p_theta*IF(v_vel!R18&gt;0,(R18-R19),(R17-R18))/p_h)+p_nu*(S18+Q18+R17+R19-4*R18)/p_h^2))</f>
        <v/>
      </c>
      <c r="S18" s="15">
        <f>IF(p_reset=1,0,S18+p_dt*(-u_vel!S18*((1-p_theta)*(T18-R18)/(2*p_h)+p_theta*IF(u_vel!S18&gt;0,(S18-R18),(T18-S18))/p_h)-v_vel!S18*((1-p_theta)*(S17-S19)/(2*p_h)+p_theta*IF(v_vel!S18&gt;0,(S18-S19),(S17-S18))/p_h)+p_nu*(T18+R18+S17+S19-4*S18)/p_h^2))</f>
        <v/>
      </c>
      <c r="T18" s="15">
        <f>IF(p_reset=1,0,T18+p_dt*(-u_vel!T18*((1-p_theta)*(U18-S18)/(2*p_h)+p_theta*IF(u_vel!T18&gt;0,(T18-S18),(U18-T18))/p_h)-v_vel!T18*((1-p_theta)*(T17-T19)/(2*p_h)+p_theta*IF(v_vel!T18&gt;0,(T18-T19),(T17-T18))/p_h)+p_nu*(U18+S18+T17+T19-4*T18)/p_h^2))</f>
        <v/>
      </c>
      <c r="U18" s="15">
        <f>IF(p_reset=1,0,U18+p_dt*(-u_vel!U18*((1-p_theta)*(V18-T18)/(2*p_h)+p_theta*IF(u_vel!U18&gt;0,(U18-T18),(V18-U18))/p_h)-v_vel!U18*((1-p_theta)*(U17-U19)/(2*p_h)+p_theta*IF(v_vel!U18&gt;0,(U18-U19),(U17-U18))/p_h)+p_nu*(V18+T18+U17+U19-4*U18)/p_h^2))</f>
        <v/>
      </c>
      <c r="V18" s="15">
        <f>IF(p_reset=1,0,V18+p_dt*(-u_vel!V18*((1-p_theta)*(W18-U18)/(2*p_h)+p_theta*IF(u_vel!V18&gt;0,(V18-U18),(W18-V18))/p_h)-v_vel!V18*((1-p_theta)*(V17-V19)/(2*p_h)+p_theta*IF(v_vel!V18&gt;0,(V18-V19),(V17-V18))/p_h)+p_nu*(W18+U18+V17+V19-4*V18)/p_h^2))</f>
        <v/>
      </c>
      <c r="W18" s="15">
        <f>IF(p_reset=1,0,W18+p_dt*(-u_vel!W18*((1-p_theta)*(X18-V18)/(2*p_h)+p_theta*IF(u_vel!W18&gt;0,(W18-V18),(X18-W18))/p_h)-v_vel!W18*((1-p_theta)*(W17-W19)/(2*p_h)+p_theta*IF(v_vel!W18&gt;0,(W18-W19),(W17-W18))/p_h)+p_nu*(X18+V18+W17+W19-4*W18)/p_h^2))</f>
        <v/>
      </c>
      <c r="X18" s="15">
        <f>IF(p_reset=1,0,X18+p_dt*(-u_vel!X18*((1-p_theta)*(Y18-W18)/(2*p_h)+p_theta*IF(u_vel!X18&gt;0,(X18-W18),(Y18-X18))/p_h)-v_vel!X18*((1-p_theta)*(X17-X19)/(2*p_h)+p_theta*IF(v_vel!X18&gt;0,(X18-X19),(X17-X18))/p_h)+p_nu*(Y18+W18+X17+X19-4*X18)/p_h^2))</f>
        <v/>
      </c>
      <c r="Y18" s="15">
        <f>IF(p_reset=1,0,Y18+p_dt*(-u_vel!Y18*((1-p_theta)*(Z18-X18)/(2*p_h)+p_theta*IF(u_vel!Y18&gt;0,(Y18-X18),(Z18-Y18))/p_h)-v_vel!Y18*((1-p_theta)*(Y17-Y19)/(2*p_h)+p_theta*IF(v_vel!Y18&gt;0,(Y18-Y19),(Y17-Y18))/p_h)+p_nu*(Z18+X18+Y17+Y19-4*Y18)/p_h^2))</f>
        <v/>
      </c>
      <c r="Z18" s="15">
        <f>IF(p_reset=1,0,Z18+p_dt*(-u_vel!Z18*((1-p_theta)*(AA18-Y18)/(2*p_h)+p_theta*IF(u_vel!Z18&gt;0,(Z18-Y18),(AA18-Z18))/p_h)-v_vel!Z18*((1-p_theta)*(Z17-Z19)/(2*p_h)+p_theta*IF(v_vel!Z18&gt;0,(Z18-Z19),(Z17-Z18))/p_h)+p_nu*(AA18+Y18+Z17+Z19-4*Z18)/p_h^2))</f>
        <v/>
      </c>
      <c r="AA18" s="15">
        <f>IF(p_reset=1,0,AA18+p_dt*(-u_vel!AA18*((1-p_theta)*(AB18-Z18)/(2*p_h)+p_theta*IF(u_vel!AA18&gt;0,(AA18-Z18),(AB18-AA18))/p_h)-v_vel!AA18*((1-p_theta)*(AA17-AA19)/(2*p_h)+p_theta*IF(v_vel!AA18&gt;0,(AA18-AA19),(AA17-AA18))/p_h)+p_nu*(AB18+Z18+AA17+AA19-4*AA18)/p_h^2))</f>
        <v/>
      </c>
      <c r="AB18" s="15">
        <f>IF(p_reset=1,0,AB18+p_dt*(-u_vel!AB18*((1-p_theta)*(AC18-AA18)/(2*p_h)+p_theta*IF(u_vel!AB18&gt;0,(AB18-AA18),(AC18-AB18))/p_h)-v_vel!AB18*((1-p_theta)*(AB17-AB19)/(2*p_h)+p_theta*IF(v_vel!AB18&gt;0,(AB18-AB19),(AB17-AB18))/p_h)+p_nu*(AC18+AA18+AB17+AB19-4*AB18)/p_h^2))</f>
        <v/>
      </c>
      <c r="AC18" s="15">
        <f>IF(p_reset=1,0,AC18+p_dt*(-u_vel!AC18*((1-p_theta)*(AD18-AB18)/(2*p_h)+p_theta*IF(u_vel!AC18&gt;0,(AC18-AB18),(AD18-AC18))/p_h)-v_vel!AC18*((1-p_theta)*(AC17-AC19)/(2*p_h)+p_theta*IF(v_vel!AC18&gt;0,(AC18-AC19),(AC17-AC18))/p_h)+p_nu*(AD18+AB18+AC17+AC19-4*AC18)/p_h^2))</f>
        <v/>
      </c>
      <c r="AD18" s="15">
        <f>IF(p_reset=1,0,AD18+p_dt*(-u_vel!AD18*((1-p_theta)*(AE18-AC18)/(2*p_h)+p_theta*IF(u_vel!AD18&gt;0,(AD18-AC18),(AE18-AD18))/p_h)-v_vel!AD18*((1-p_theta)*(AD17-AD19)/(2*p_h)+p_theta*IF(v_vel!AD18&gt;0,(AD18-AD19),(AD17-AD18))/p_h)+p_nu*(AE18+AC18+AD17+AD19-4*AD18)/p_h^2))</f>
        <v/>
      </c>
      <c r="AE18" s="15">
        <f>IF(p_reset=1,0,AE18+p_dt*(-u_vel!AE18*((1-p_theta)*(AF18-AD18)/(2*p_h)+p_theta*IF(u_vel!AE18&gt;0,(AE18-AD18),(AF18-AE18))/p_h)-v_vel!AE18*((1-p_theta)*(AE17-AE19)/(2*p_h)+p_theta*IF(v_vel!AE18&gt;0,(AE18-AE19),(AE17-AE18))/p_h)+p_nu*(AF18+AD18+AE17+AE19-4*AE18)/p_h^2))</f>
        <v/>
      </c>
      <c r="AF18" s="15">
        <f>IF(p_reset=1,0,AF18+p_dt*(-u_vel!AF18*((1-p_theta)*(AG18-AE18)/(2*p_h)+p_theta*IF(u_vel!AF18&gt;0,(AF18-AE18),(AG18-AF18))/p_h)-v_vel!AF18*((1-p_theta)*(AF17-AF19)/(2*p_h)+p_theta*IF(v_vel!AF18&gt;0,(AF18-AF19),(AF17-AF18))/p_h)+p_nu*(AG18+AE18+AF17+AF19-4*AF18)/p_h^2))</f>
        <v/>
      </c>
      <c r="AG18" s="15">
        <f>IF(p_reset=1,0,AG18+p_dt*(-u_vel!AG18*((1-p_theta)*(AH18-AF18)/(2*p_h)+p_theta*IF(u_vel!AG18&gt;0,(AG18-AF18),(AH18-AG18))/p_h)-v_vel!AG18*((1-p_theta)*(AG17-AG19)/(2*p_h)+p_theta*IF(v_vel!AG18&gt;0,(AG18-AG19),(AG17-AG18))/p_h)+p_nu*(AH18+AF18+AG17+AG19-4*AG18)/p_h^2))</f>
        <v/>
      </c>
      <c r="AH18" s="15">
        <f>-2*Psi!AG18/p_h^2</f>
        <v/>
      </c>
    </row>
    <row r="19">
      <c r="A19" s="7">
        <f>A18-p_h</f>
        <v/>
      </c>
      <c r="B19" s="15">
        <f>-2*Psi!C19/p_h^2</f>
        <v/>
      </c>
      <c r="C19" s="15">
        <f>IF(p_reset=1,0,C19+p_dt*(-u_vel!C19*((1-p_theta)*(D19-B19)/(2*p_h)+p_theta*IF(u_vel!C19&gt;0,(C19-B19),(D19-C19))/p_h)-v_vel!C19*((1-p_theta)*(C18-C20)/(2*p_h)+p_theta*IF(v_vel!C19&gt;0,(C19-C20),(C18-C19))/p_h)+p_nu*(D19+B19+C18+C20-4*C19)/p_h^2))</f>
        <v/>
      </c>
      <c r="D19" s="15">
        <f>IF(p_reset=1,0,D19+p_dt*(-u_vel!D19*((1-p_theta)*(E19-C19)/(2*p_h)+p_theta*IF(u_vel!D19&gt;0,(D19-C19),(E19-D19))/p_h)-v_vel!D19*((1-p_theta)*(D18-D20)/(2*p_h)+p_theta*IF(v_vel!D19&gt;0,(D19-D20),(D18-D19))/p_h)+p_nu*(E19+C19+D18+D20-4*D19)/p_h^2))</f>
        <v/>
      </c>
      <c r="E19" s="15">
        <f>IF(p_reset=1,0,E19+p_dt*(-u_vel!E19*((1-p_theta)*(F19-D19)/(2*p_h)+p_theta*IF(u_vel!E19&gt;0,(E19-D19),(F19-E19))/p_h)-v_vel!E19*((1-p_theta)*(E18-E20)/(2*p_h)+p_theta*IF(v_vel!E19&gt;0,(E19-E20),(E18-E19))/p_h)+p_nu*(F19+D19+E18+E20-4*E19)/p_h^2))</f>
        <v/>
      </c>
      <c r="F19" s="15">
        <f>IF(p_reset=1,0,F19+p_dt*(-u_vel!F19*((1-p_theta)*(G19-E19)/(2*p_h)+p_theta*IF(u_vel!F19&gt;0,(F19-E19),(G19-F19))/p_h)-v_vel!F19*((1-p_theta)*(F18-F20)/(2*p_h)+p_theta*IF(v_vel!F19&gt;0,(F19-F20),(F18-F19))/p_h)+p_nu*(G19+E19+F18+F20-4*F19)/p_h^2))</f>
        <v/>
      </c>
      <c r="G19" s="15">
        <f>IF(p_reset=1,0,G19+p_dt*(-u_vel!G19*((1-p_theta)*(H19-F19)/(2*p_h)+p_theta*IF(u_vel!G19&gt;0,(G19-F19),(H19-G19))/p_h)-v_vel!G19*((1-p_theta)*(G18-G20)/(2*p_h)+p_theta*IF(v_vel!G19&gt;0,(G19-G20),(G18-G19))/p_h)+p_nu*(H19+F19+G18+G20-4*G19)/p_h^2))</f>
        <v/>
      </c>
      <c r="H19" s="15">
        <f>IF(p_reset=1,0,H19+p_dt*(-u_vel!H19*((1-p_theta)*(I19-G19)/(2*p_h)+p_theta*IF(u_vel!H19&gt;0,(H19-G19),(I19-H19))/p_h)-v_vel!H19*((1-p_theta)*(H18-H20)/(2*p_h)+p_theta*IF(v_vel!H19&gt;0,(H19-H20),(H18-H19))/p_h)+p_nu*(I19+G19+H18+H20-4*H19)/p_h^2))</f>
        <v/>
      </c>
      <c r="I19" s="15">
        <f>IF(p_reset=1,0,I19+p_dt*(-u_vel!I19*((1-p_theta)*(J19-H19)/(2*p_h)+p_theta*IF(u_vel!I19&gt;0,(I19-H19),(J19-I19))/p_h)-v_vel!I19*((1-p_theta)*(I18-I20)/(2*p_h)+p_theta*IF(v_vel!I19&gt;0,(I19-I20),(I18-I19))/p_h)+p_nu*(J19+H19+I18+I20-4*I19)/p_h^2))</f>
        <v/>
      </c>
      <c r="J19" s="15">
        <f>IF(p_reset=1,0,J19+p_dt*(-u_vel!J19*((1-p_theta)*(K19-I19)/(2*p_h)+p_theta*IF(u_vel!J19&gt;0,(J19-I19),(K19-J19))/p_h)-v_vel!J19*((1-p_theta)*(J18-J20)/(2*p_h)+p_theta*IF(v_vel!J19&gt;0,(J19-J20),(J18-J19))/p_h)+p_nu*(K19+I19+J18+J20-4*J19)/p_h^2))</f>
        <v/>
      </c>
      <c r="K19" s="15">
        <f>IF(p_reset=1,0,K19+p_dt*(-u_vel!K19*((1-p_theta)*(L19-J19)/(2*p_h)+p_theta*IF(u_vel!K19&gt;0,(K19-J19),(L19-K19))/p_h)-v_vel!K19*((1-p_theta)*(K18-K20)/(2*p_h)+p_theta*IF(v_vel!K19&gt;0,(K19-K20),(K18-K19))/p_h)+p_nu*(L19+J19+K18+K20-4*K19)/p_h^2))</f>
        <v/>
      </c>
      <c r="L19" s="15">
        <f>IF(p_reset=1,0,L19+p_dt*(-u_vel!L19*((1-p_theta)*(M19-K19)/(2*p_h)+p_theta*IF(u_vel!L19&gt;0,(L19-K19),(M19-L19))/p_h)-v_vel!L19*((1-p_theta)*(L18-L20)/(2*p_h)+p_theta*IF(v_vel!L19&gt;0,(L19-L20),(L18-L19))/p_h)+p_nu*(M19+K19+L18+L20-4*L19)/p_h^2))</f>
        <v/>
      </c>
      <c r="M19" s="15">
        <f>IF(p_reset=1,0,M19+p_dt*(-u_vel!M19*((1-p_theta)*(N19-L19)/(2*p_h)+p_theta*IF(u_vel!M19&gt;0,(M19-L19),(N19-M19))/p_h)-v_vel!M19*((1-p_theta)*(M18-M20)/(2*p_h)+p_theta*IF(v_vel!M19&gt;0,(M19-M20),(M18-M19))/p_h)+p_nu*(N19+L19+M18+M20-4*M19)/p_h^2))</f>
        <v/>
      </c>
      <c r="N19" s="15">
        <f>IF(p_reset=1,0,N19+p_dt*(-u_vel!N19*((1-p_theta)*(O19-M19)/(2*p_h)+p_theta*IF(u_vel!N19&gt;0,(N19-M19),(O19-N19))/p_h)-v_vel!N19*((1-p_theta)*(N18-N20)/(2*p_h)+p_theta*IF(v_vel!N19&gt;0,(N19-N20),(N18-N19))/p_h)+p_nu*(O19+M19+N18+N20-4*N19)/p_h^2))</f>
        <v/>
      </c>
      <c r="O19" s="15">
        <f>IF(p_reset=1,0,O19+p_dt*(-u_vel!O19*((1-p_theta)*(P19-N19)/(2*p_h)+p_theta*IF(u_vel!O19&gt;0,(O19-N19),(P19-O19))/p_h)-v_vel!O19*((1-p_theta)*(O18-O20)/(2*p_h)+p_theta*IF(v_vel!O19&gt;0,(O19-O20),(O18-O19))/p_h)+p_nu*(P19+N19+O18+O20-4*O19)/p_h^2))</f>
        <v/>
      </c>
      <c r="P19" s="15">
        <f>IF(p_reset=1,0,P19+p_dt*(-u_vel!P19*((1-p_theta)*(Q19-O19)/(2*p_h)+p_theta*IF(u_vel!P19&gt;0,(P19-O19),(Q19-P19))/p_h)-v_vel!P19*((1-p_theta)*(P18-P20)/(2*p_h)+p_theta*IF(v_vel!P19&gt;0,(P19-P20),(P18-P19))/p_h)+p_nu*(Q19+O19+P18+P20-4*P19)/p_h^2))</f>
        <v/>
      </c>
      <c r="Q19" s="15">
        <f>IF(p_reset=1,0,Q19+p_dt*(-u_vel!Q19*((1-p_theta)*(R19-P19)/(2*p_h)+p_theta*IF(u_vel!Q19&gt;0,(Q19-P19),(R19-Q19))/p_h)-v_vel!Q19*((1-p_theta)*(Q18-Q20)/(2*p_h)+p_theta*IF(v_vel!Q19&gt;0,(Q19-Q20),(Q18-Q19))/p_h)+p_nu*(R19+P19+Q18+Q20-4*Q19)/p_h^2))</f>
        <v/>
      </c>
      <c r="R19" s="15">
        <f>IF(p_reset=1,0,R19+p_dt*(-u_vel!R19*((1-p_theta)*(S19-Q19)/(2*p_h)+p_theta*IF(u_vel!R19&gt;0,(R19-Q19),(S19-R19))/p_h)-v_vel!R19*((1-p_theta)*(R18-R20)/(2*p_h)+p_theta*IF(v_vel!R19&gt;0,(R19-R20),(R18-R19))/p_h)+p_nu*(S19+Q19+R18+R20-4*R19)/p_h^2))</f>
        <v/>
      </c>
      <c r="S19" s="15">
        <f>IF(p_reset=1,0,S19+p_dt*(-u_vel!S19*((1-p_theta)*(T19-R19)/(2*p_h)+p_theta*IF(u_vel!S19&gt;0,(S19-R19),(T19-S19))/p_h)-v_vel!S19*((1-p_theta)*(S18-S20)/(2*p_h)+p_theta*IF(v_vel!S19&gt;0,(S19-S20),(S18-S19))/p_h)+p_nu*(T19+R19+S18+S20-4*S19)/p_h^2))</f>
        <v/>
      </c>
      <c r="T19" s="15">
        <f>IF(p_reset=1,0,T19+p_dt*(-u_vel!T19*((1-p_theta)*(U19-S19)/(2*p_h)+p_theta*IF(u_vel!T19&gt;0,(T19-S19),(U19-T19))/p_h)-v_vel!T19*((1-p_theta)*(T18-T20)/(2*p_h)+p_theta*IF(v_vel!T19&gt;0,(T19-T20),(T18-T19))/p_h)+p_nu*(U19+S19+T18+T20-4*T19)/p_h^2))</f>
        <v/>
      </c>
      <c r="U19" s="15">
        <f>IF(p_reset=1,0,U19+p_dt*(-u_vel!U19*((1-p_theta)*(V19-T19)/(2*p_h)+p_theta*IF(u_vel!U19&gt;0,(U19-T19),(V19-U19))/p_h)-v_vel!U19*((1-p_theta)*(U18-U20)/(2*p_h)+p_theta*IF(v_vel!U19&gt;0,(U19-U20),(U18-U19))/p_h)+p_nu*(V19+T19+U18+U20-4*U19)/p_h^2))</f>
        <v/>
      </c>
      <c r="V19" s="15">
        <f>IF(p_reset=1,0,V19+p_dt*(-u_vel!V19*((1-p_theta)*(W19-U19)/(2*p_h)+p_theta*IF(u_vel!V19&gt;0,(V19-U19),(W19-V19))/p_h)-v_vel!V19*((1-p_theta)*(V18-V20)/(2*p_h)+p_theta*IF(v_vel!V19&gt;0,(V19-V20),(V18-V19))/p_h)+p_nu*(W19+U19+V18+V20-4*V19)/p_h^2))</f>
        <v/>
      </c>
      <c r="W19" s="15">
        <f>IF(p_reset=1,0,W19+p_dt*(-u_vel!W19*((1-p_theta)*(X19-V19)/(2*p_h)+p_theta*IF(u_vel!W19&gt;0,(W19-V19),(X19-W19))/p_h)-v_vel!W19*((1-p_theta)*(W18-W20)/(2*p_h)+p_theta*IF(v_vel!W19&gt;0,(W19-W20),(W18-W19))/p_h)+p_nu*(X19+V19+W18+W20-4*W19)/p_h^2))</f>
        <v/>
      </c>
      <c r="X19" s="15">
        <f>IF(p_reset=1,0,X19+p_dt*(-u_vel!X19*((1-p_theta)*(Y19-W19)/(2*p_h)+p_theta*IF(u_vel!X19&gt;0,(X19-W19),(Y19-X19))/p_h)-v_vel!X19*((1-p_theta)*(X18-X20)/(2*p_h)+p_theta*IF(v_vel!X19&gt;0,(X19-X20),(X18-X19))/p_h)+p_nu*(Y19+W19+X18+X20-4*X19)/p_h^2))</f>
        <v/>
      </c>
      <c r="Y19" s="15">
        <f>IF(p_reset=1,0,Y19+p_dt*(-u_vel!Y19*((1-p_theta)*(Z19-X19)/(2*p_h)+p_theta*IF(u_vel!Y19&gt;0,(Y19-X19),(Z19-Y19))/p_h)-v_vel!Y19*((1-p_theta)*(Y18-Y20)/(2*p_h)+p_theta*IF(v_vel!Y19&gt;0,(Y19-Y20),(Y18-Y19))/p_h)+p_nu*(Z19+X19+Y18+Y20-4*Y19)/p_h^2))</f>
        <v/>
      </c>
      <c r="Z19" s="15">
        <f>IF(p_reset=1,0,Z19+p_dt*(-u_vel!Z19*((1-p_theta)*(AA19-Y19)/(2*p_h)+p_theta*IF(u_vel!Z19&gt;0,(Z19-Y19),(AA19-Z19))/p_h)-v_vel!Z19*((1-p_theta)*(Z18-Z20)/(2*p_h)+p_theta*IF(v_vel!Z19&gt;0,(Z19-Z20),(Z18-Z19))/p_h)+p_nu*(AA19+Y19+Z18+Z20-4*Z19)/p_h^2))</f>
        <v/>
      </c>
      <c r="AA19" s="15">
        <f>IF(p_reset=1,0,AA19+p_dt*(-u_vel!AA19*((1-p_theta)*(AB19-Z19)/(2*p_h)+p_theta*IF(u_vel!AA19&gt;0,(AA19-Z19),(AB19-AA19))/p_h)-v_vel!AA19*((1-p_theta)*(AA18-AA20)/(2*p_h)+p_theta*IF(v_vel!AA19&gt;0,(AA19-AA20),(AA18-AA19))/p_h)+p_nu*(AB19+Z19+AA18+AA20-4*AA19)/p_h^2))</f>
        <v/>
      </c>
      <c r="AB19" s="15">
        <f>IF(p_reset=1,0,AB19+p_dt*(-u_vel!AB19*((1-p_theta)*(AC19-AA19)/(2*p_h)+p_theta*IF(u_vel!AB19&gt;0,(AB19-AA19),(AC19-AB19))/p_h)-v_vel!AB19*((1-p_theta)*(AB18-AB20)/(2*p_h)+p_theta*IF(v_vel!AB19&gt;0,(AB19-AB20),(AB18-AB19))/p_h)+p_nu*(AC19+AA19+AB18+AB20-4*AB19)/p_h^2))</f>
        <v/>
      </c>
      <c r="AC19" s="15">
        <f>IF(p_reset=1,0,AC19+p_dt*(-u_vel!AC19*((1-p_theta)*(AD19-AB19)/(2*p_h)+p_theta*IF(u_vel!AC19&gt;0,(AC19-AB19),(AD19-AC19))/p_h)-v_vel!AC19*((1-p_theta)*(AC18-AC20)/(2*p_h)+p_theta*IF(v_vel!AC19&gt;0,(AC19-AC20),(AC18-AC19))/p_h)+p_nu*(AD19+AB19+AC18+AC20-4*AC19)/p_h^2))</f>
        <v/>
      </c>
      <c r="AD19" s="15">
        <f>IF(p_reset=1,0,AD19+p_dt*(-u_vel!AD19*((1-p_theta)*(AE19-AC19)/(2*p_h)+p_theta*IF(u_vel!AD19&gt;0,(AD19-AC19),(AE19-AD19))/p_h)-v_vel!AD19*((1-p_theta)*(AD18-AD20)/(2*p_h)+p_theta*IF(v_vel!AD19&gt;0,(AD19-AD20),(AD18-AD19))/p_h)+p_nu*(AE19+AC19+AD18+AD20-4*AD19)/p_h^2))</f>
        <v/>
      </c>
      <c r="AE19" s="15">
        <f>IF(p_reset=1,0,AE19+p_dt*(-u_vel!AE19*((1-p_theta)*(AF19-AD19)/(2*p_h)+p_theta*IF(u_vel!AE19&gt;0,(AE19-AD19),(AF19-AE19))/p_h)-v_vel!AE19*((1-p_theta)*(AE18-AE20)/(2*p_h)+p_theta*IF(v_vel!AE19&gt;0,(AE19-AE20),(AE18-AE19))/p_h)+p_nu*(AF19+AD19+AE18+AE20-4*AE19)/p_h^2))</f>
        <v/>
      </c>
      <c r="AF19" s="15">
        <f>IF(p_reset=1,0,AF19+p_dt*(-u_vel!AF19*((1-p_theta)*(AG19-AE19)/(2*p_h)+p_theta*IF(u_vel!AF19&gt;0,(AF19-AE19),(AG19-AF19))/p_h)-v_vel!AF19*((1-p_theta)*(AF18-AF20)/(2*p_h)+p_theta*IF(v_vel!AF19&gt;0,(AF19-AF20),(AF18-AF19))/p_h)+p_nu*(AG19+AE19+AF18+AF20-4*AF19)/p_h^2))</f>
        <v/>
      </c>
      <c r="AG19" s="15">
        <f>IF(p_reset=1,0,AG19+p_dt*(-u_vel!AG19*((1-p_theta)*(AH19-AF19)/(2*p_h)+p_theta*IF(u_vel!AG19&gt;0,(AG19-AF19),(AH19-AG19))/p_h)-v_vel!AG19*((1-p_theta)*(AG18-AG20)/(2*p_h)+p_theta*IF(v_vel!AG19&gt;0,(AG19-AG20),(AG18-AG19))/p_h)+p_nu*(AH19+AF19+AG18+AG20-4*AG19)/p_h^2))</f>
        <v/>
      </c>
      <c r="AH19" s="15">
        <f>-2*Psi!AG19/p_h^2</f>
        <v/>
      </c>
    </row>
    <row r="20">
      <c r="A20" s="7">
        <f>A19-p_h</f>
        <v/>
      </c>
      <c r="B20" s="15">
        <f>-2*Psi!C20/p_h^2</f>
        <v/>
      </c>
      <c r="C20" s="15">
        <f>IF(p_reset=1,0,C20+p_dt*(-u_vel!C20*((1-p_theta)*(D20-B20)/(2*p_h)+p_theta*IF(u_vel!C20&gt;0,(C20-B20),(D20-C20))/p_h)-v_vel!C20*((1-p_theta)*(C19-C21)/(2*p_h)+p_theta*IF(v_vel!C20&gt;0,(C20-C21),(C19-C20))/p_h)+p_nu*(D20+B20+C19+C21-4*C20)/p_h^2))</f>
        <v/>
      </c>
      <c r="D20" s="15">
        <f>IF(p_reset=1,0,D20+p_dt*(-u_vel!D20*((1-p_theta)*(E20-C20)/(2*p_h)+p_theta*IF(u_vel!D20&gt;0,(D20-C20),(E20-D20))/p_h)-v_vel!D20*((1-p_theta)*(D19-D21)/(2*p_h)+p_theta*IF(v_vel!D20&gt;0,(D20-D21),(D19-D20))/p_h)+p_nu*(E20+C20+D19+D21-4*D20)/p_h^2))</f>
        <v/>
      </c>
      <c r="E20" s="15">
        <f>IF(p_reset=1,0,E20+p_dt*(-u_vel!E20*((1-p_theta)*(F20-D20)/(2*p_h)+p_theta*IF(u_vel!E20&gt;0,(E20-D20),(F20-E20))/p_h)-v_vel!E20*((1-p_theta)*(E19-E21)/(2*p_h)+p_theta*IF(v_vel!E20&gt;0,(E20-E21),(E19-E20))/p_h)+p_nu*(F20+D20+E19+E21-4*E20)/p_h^2))</f>
        <v/>
      </c>
      <c r="F20" s="15">
        <f>IF(p_reset=1,0,F20+p_dt*(-u_vel!F20*((1-p_theta)*(G20-E20)/(2*p_h)+p_theta*IF(u_vel!F20&gt;0,(F20-E20),(G20-F20))/p_h)-v_vel!F20*((1-p_theta)*(F19-F21)/(2*p_h)+p_theta*IF(v_vel!F20&gt;0,(F20-F21),(F19-F20))/p_h)+p_nu*(G20+E20+F19+F21-4*F20)/p_h^2))</f>
        <v/>
      </c>
      <c r="G20" s="15">
        <f>IF(p_reset=1,0,G20+p_dt*(-u_vel!G20*((1-p_theta)*(H20-F20)/(2*p_h)+p_theta*IF(u_vel!G20&gt;0,(G20-F20),(H20-G20))/p_h)-v_vel!G20*((1-p_theta)*(G19-G21)/(2*p_h)+p_theta*IF(v_vel!G20&gt;0,(G20-G21),(G19-G20))/p_h)+p_nu*(H20+F20+G19+G21-4*G20)/p_h^2))</f>
        <v/>
      </c>
      <c r="H20" s="15">
        <f>IF(p_reset=1,0,H20+p_dt*(-u_vel!H20*((1-p_theta)*(I20-G20)/(2*p_h)+p_theta*IF(u_vel!H20&gt;0,(H20-G20),(I20-H20))/p_h)-v_vel!H20*((1-p_theta)*(H19-H21)/(2*p_h)+p_theta*IF(v_vel!H20&gt;0,(H20-H21),(H19-H20))/p_h)+p_nu*(I20+G20+H19+H21-4*H20)/p_h^2))</f>
        <v/>
      </c>
      <c r="I20" s="15">
        <f>IF(p_reset=1,0,I20+p_dt*(-u_vel!I20*((1-p_theta)*(J20-H20)/(2*p_h)+p_theta*IF(u_vel!I20&gt;0,(I20-H20),(J20-I20))/p_h)-v_vel!I20*((1-p_theta)*(I19-I21)/(2*p_h)+p_theta*IF(v_vel!I20&gt;0,(I20-I21),(I19-I20))/p_h)+p_nu*(J20+H20+I19+I21-4*I20)/p_h^2))</f>
        <v/>
      </c>
      <c r="J20" s="15">
        <f>IF(p_reset=1,0,J20+p_dt*(-u_vel!J20*((1-p_theta)*(K20-I20)/(2*p_h)+p_theta*IF(u_vel!J20&gt;0,(J20-I20),(K20-J20))/p_h)-v_vel!J20*((1-p_theta)*(J19-J21)/(2*p_h)+p_theta*IF(v_vel!J20&gt;0,(J20-J21),(J19-J20))/p_h)+p_nu*(K20+I20+J19+J21-4*J20)/p_h^2))</f>
        <v/>
      </c>
      <c r="K20" s="15">
        <f>IF(p_reset=1,0,K20+p_dt*(-u_vel!K20*((1-p_theta)*(L20-J20)/(2*p_h)+p_theta*IF(u_vel!K20&gt;0,(K20-J20),(L20-K20))/p_h)-v_vel!K20*((1-p_theta)*(K19-K21)/(2*p_h)+p_theta*IF(v_vel!K20&gt;0,(K20-K21),(K19-K20))/p_h)+p_nu*(L20+J20+K19+K21-4*K20)/p_h^2))</f>
        <v/>
      </c>
      <c r="L20" s="15">
        <f>IF(p_reset=1,0,L20+p_dt*(-u_vel!L20*((1-p_theta)*(M20-K20)/(2*p_h)+p_theta*IF(u_vel!L20&gt;0,(L20-K20),(M20-L20))/p_h)-v_vel!L20*((1-p_theta)*(L19-L21)/(2*p_h)+p_theta*IF(v_vel!L20&gt;0,(L20-L21),(L19-L20))/p_h)+p_nu*(M20+K20+L19+L21-4*L20)/p_h^2))</f>
        <v/>
      </c>
      <c r="M20" s="15">
        <f>IF(p_reset=1,0,M20+p_dt*(-u_vel!M20*((1-p_theta)*(N20-L20)/(2*p_h)+p_theta*IF(u_vel!M20&gt;0,(M20-L20),(N20-M20))/p_h)-v_vel!M20*((1-p_theta)*(M19-M21)/(2*p_h)+p_theta*IF(v_vel!M20&gt;0,(M20-M21),(M19-M20))/p_h)+p_nu*(N20+L20+M19+M21-4*M20)/p_h^2))</f>
        <v/>
      </c>
      <c r="N20" s="15">
        <f>IF(p_reset=1,0,N20+p_dt*(-u_vel!N20*((1-p_theta)*(O20-M20)/(2*p_h)+p_theta*IF(u_vel!N20&gt;0,(N20-M20),(O20-N20))/p_h)-v_vel!N20*((1-p_theta)*(N19-N21)/(2*p_h)+p_theta*IF(v_vel!N20&gt;0,(N20-N21),(N19-N20))/p_h)+p_nu*(O20+M20+N19+N21-4*N20)/p_h^2))</f>
        <v/>
      </c>
      <c r="O20" s="15">
        <f>IF(p_reset=1,0,O20+p_dt*(-u_vel!O20*((1-p_theta)*(P20-N20)/(2*p_h)+p_theta*IF(u_vel!O20&gt;0,(O20-N20),(P20-O20))/p_h)-v_vel!O20*((1-p_theta)*(O19-O21)/(2*p_h)+p_theta*IF(v_vel!O20&gt;0,(O20-O21),(O19-O20))/p_h)+p_nu*(P20+N20+O19+O21-4*O20)/p_h^2))</f>
        <v/>
      </c>
      <c r="P20" s="15">
        <f>IF(p_reset=1,0,P20+p_dt*(-u_vel!P20*((1-p_theta)*(Q20-O20)/(2*p_h)+p_theta*IF(u_vel!P20&gt;0,(P20-O20),(Q20-P20))/p_h)-v_vel!P20*((1-p_theta)*(P19-P21)/(2*p_h)+p_theta*IF(v_vel!P20&gt;0,(P20-P21),(P19-P20))/p_h)+p_nu*(Q20+O20+P19+P21-4*P20)/p_h^2))</f>
        <v/>
      </c>
      <c r="Q20" s="15">
        <f>IF(p_reset=1,0,Q20+p_dt*(-u_vel!Q20*((1-p_theta)*(R20-P20)/(2*p_h)+p_theta*IF(u_vel!Q20&gt;0,(Q20-P20),(R20-Q20))/p_h)-v_vel!Q20*((1-p_theta)*(Q19-Q21)/(2*p_h)+p_theta*IF(v_vel!Q20&gt;0,(Q20-Q21),(Q19-Q20))/p_h)+p_nu*(R20+P20+Q19+Q21-4*Q20)/p_h^2))</f>
        <v/>
      </c>
      <c r="R20" s="15">
        <f>IF(p_reset=1,0,R20+p_dt*(-u_vel!R20*((1-p_theta)*(S20-Q20)/(2*p_h)+p_theta*IF(u_vel!R20&gt;0,(R20-Q20),(S20-R20))/p_h)-v_vel!R20*((1-p_theta)*(R19-R21)/(2*p_h)+p_theta*IF(v_vel!R20&gt;0,(R20-R21),(R19-R20))/p_h)+p_nu*(S20+Q20+R19+R21-4*R20)/p_h^2))</f>
        <v/>
      </c>
      <c r="S20" s="15">
        <f>IF(p_reset=1,0,S20+p_dt*(-u_vel!S20*((1-p_theta)*(T20-R20)/(2*p_h)+p_theta*IF(u_vel!S20&gt;0,(S20-R20),(T20-S20))/p_h)-v_vel!S20*((1-p_theta)*(S19-S21)/(2*p_h)+p_theta*IF(v_vel!S20&gt;0,(S20-S21),(S19-S20))/p_h)+p_nu*(T20+R20+S19+S21-4*S20)/p_h^2))</f>
        <v/>
      </c>
      <c r="T20" s="15">
        <f>IF(p_reset=1,0,T20+p_dt*(-u_vel!T20*((1-p_theta)*(U20-S20)/(2*p_h)+p_theta*IF(u_vel!T20&gt;0,(T20-S20),(U20-T20))/p_h)-v_vel!T20*((1-p_theta)*(T19-T21)/(2*p_h)+p_theta*IF(v_vel!T20&gt;0,(T20-T21),(T19-T20))/p_h)+p_nu*(U20+S20+T19+T21-4*T20)/p_h^2))</f>
        <v/>
      </c>
      <c r="U20" s="15">
        <f>IF(p_reset=1,0,U20+p_dt*(-u_vel!U20*((1-p_theta)*(V20-T20)/(2*p_h)+p_theta*IF(u_vel!U20&gt;0,(U20-T20),(V20-U20))/p_h)-v_vel!U20*((1-p_theta)*(U19-U21)/(2*p_h)+p_theta*IF(v_vel!U20&gt;0,(U20-U21),(U19-U20))/p_h)+p_nu*(V20+T20+U19+U21-4*U20)/p_h^2))</f>
        <v/>
      </c>
      <c r="V20" s="15">
        <f>IF(p_reset=1,0,V20+p_dt*(-u_vel!V20*((1-p_theta)*(W20-U20)/(2*p_h)+p_theta*IF(u_vel!V20&gt;0,(V20-U20),(W20-V20))/p_h)-v_vel!V20*((1-p_theta)*(V19-V21)/(2*p_h)+p_theta*IF(v_vel!V20&gt;0,(V20-V21),(V19-V20))/p_h)+p_nu*(W20+U20+V19+V21-4*V20)/p_h^2))</f>
        <v/>
      </c>
      <c r="W20" s="15">
        <f>IF(p_reset=1,0,W20+p_dt*(-u_vel!W20*((1-p_theta)*(X20-V20)/(2*p_h)+p_theta*IF(u_vel!W20&gt;0,(W20-V20),(X20-W20))/p_h)-v_vel!W20*((1-p_theta)*(W19-W21)/(2*p_h)+p_theta*IF(v_vel!W20&gt;0,(W20-W21),(W19-W20))/p_h)+p_nu*(X20+V20+W19+W21-4*W20)/p_h^2))</f>
        <v/>
      </c>
      <c r="X20" s="15">
        <f>IF(p_reset=1,0,X20+p_dt*(-u_vel!X20*((1-p_theta)*(Y20-W20)/(2*p_h)+p_theta*IF(u_vel!X20&gt;0,(X20-W20),(Y20-X20))/p_h)-v_vel!X20*((1-p_theta)*(X19-X21)/(2*p_h)+p_theta*IF(v_vel!X20&gt;0,(X20-X21),(X19-X20))/p_h)+p_nu*(Y20+W20+X19+X21-4*X20)/p_h^2))</f>
        <v/>
      </c>
      <c r="Y20" s="15">
        <f>IF(p_reset=1,0,Y20+p_dt*(-u_vel!Y20*((1-p_theta)*(Z20-X20)/(2*p_h)+p_theta*IF(u_vel!Y20&gt;0,(Y20-X20),(Z20-Y20))/p_h)-v_vel!Y20*((1-p_theta)*(Y19-Y21)/(2*p_h)+p_theta*IF(v_vel!Y20&gt;0,(Y20-Y21),(Y19-Y20))/p_h)+p_nu*(Z20+X20+Y19+Y21-4*Y20)/p_h^2))</f>
        <v/>
      </c>
      <c r="Z20" s="15">
        <f>IF(p_reset=1,0,Z20+p_dt*(-u_vel!Z20*((1-p_theta)*(AA20-Y20)/(2*p_h)+p_theta*IF(u_vel!Z20&gt;0,(Z20-Y20),(AA20-Z20))/p_h)-v_vel!Z20*((1-p_theta)*(Z19-Z21)/(2*p_h)+p_theta*IF(v_vel!Z20&gt;0,(Z20-Z21),(Z19-Z20))/p_h)+p_nu*(AA20+Y20+Z19+Z21-4*Z20)/p_h^2))</f>
        <v/>
      </c>
      <c r="AA20" s="15">
        <f>IF(p_reset=1,0,AA20+p_dt*(-u_vel!AA20*((1-p_theta)*(AB20-Z20)/(2*p_h)+p_theta*IF(u_vel!AA20&gt;0,(AA20-Z20),(AB20-AA20))/p_h)-v_vel!AA20*((1-p_theta)*(AA19-AA21)/(2*p_h)+p_theta*IF(v_vel!AA20&gt;0,(AA20-AA21),(AA19-AA20))/p_h)+p_nu*(AB20+Z20+AA19+AA21-4*AA20)/p_h^2))</f>
        <v/>
      </c>
      <c r="AB20" s="15">
        <f>IF(p_reset=1,0,AB20+p_dt*(-u_vel!AB20*((1-p_theta)*(AC20-AA20)/(2*p_h)+p_theta*IF(u_vel!AB20&gt;0,(AB20-AA20),(AC20-AB20))/p_h)-v_vel!AB20*((1-p_theta)*(AB19-AB21)/(2*p_h)+p_theta*IF(v_vel!AB20&gt;0,(AB20-AB21),(AB19-AB20))/p_h)+p_nu*(AC20+AA20+AB19+AB21-4*AB20)/p_h^2))</f>
        <v/>
      </c>
      <c r="AC20" s="15">
        <f>IF(p_reset=1,0,AC20+p_dt*(-u_vel!AC20*((1-p_theta)*(AD20-AB20)/(2*p_h)+p_theta*IF(u_vel!AC20&gt;0,(AC20-AB20),(AD20-AC20))/p_h)-v_vel!AC20*((1-p_theta)*(AC19-AC21)/(2*p_h)+p_theta*IF(v_vel!AC20&gt;0,(AC20-AC21),(AC19-AC20))/p_h)+p_nu*(AD20+AB20+AC19+AC21-4*AC20)/p_h^2))</f>
        <v/>
      </c>
      <c r="AD20" s="15">
        <f>IF(p_reset=1,0,AD20+p_dt*(-u_vel!AD20*((1-p_theta)*(AE20-AC20)/(2*p_h)+p_theta*IF(u_vel!AD20&gt;0,(AD20-AC20),(AE20-AD20))/p_h)-v_vel!AD20*((1-p_theta)*(AD19-AD21)/(2*p_h)+p_theta*IF(v_vel!AD20&gt;0,(AD20-AD21),(AD19-AD20))/p_h)+p_nu*(AE20+AC20+AD19+AD21-4*AD20)/p_h^2))</f>
        <v/>
      </c>
      <c r="AE20" s="15">
        <f>IF(p_reset=1,0,AE20+p_dt*(-u_vel!AE20*((1-p_theta)*(AF20-AD20)/(2*p_h)+p_theta*IF(u_vel!AE20&gt;0,(AE20-AD20),(AF20-AE20))/p_h)-v_vel!AE20*((1-p_theta)*(AE19-AE21)/(2*p_h)+p_theta*IF(v_vel!AE20&gt;0,(AE20-AE21),(AE19-AE20))/p_h)+p_nu*(AF20+AD20+AE19+AE21-4*AE20)/p_h^2))</f>
        <v/>
      </c>
      <c r="AF20" s="15">
        <f>IF(p_reset=1,0,AF20+p_dt*(-u_vel!AF20*((1-p_theta)*(AG20-AE20)/(2*p_h)+p_theta*IF(u_vel!AF20&gt;0,(AF20-AE20),(AG20-AF20))/p_h)-v_vel!AF20*((1-p_theta)*(AF19-AF21)/(2*p_h)+p_theta*IF(v_vel!AF20&gt;0,(AF20-AF21),(AF19-AF20))/p_h)+p_nu*(AG20+AE20+AF19+AF21-4*AF20)/p_h^2))</f>
        <v/>
      </c>
      <c r="AG20" s="15">
        <f>IF(p_reset=1,0,AG20+p_dt*(-u_vel!AG20*((1-p_theta)*(AH20-AF20)/(2*p_h)+p_theta*IF(u_vel!AG20&gt;0,(AG20-AF20),(AH20-AG20))/p_h)-v_vel!AG20*((1-p_theta)*(AG19-AG21)/(2*p_h)+p_theta*IF(v_vel!AG20&gt;0,(AG20-AG21),(AG19-AG20))/p_h)+p_nu*(AH20+AF20+AG19+AG21-4*AG20)/p_h^2))</f>
        <v/>
      </c>
      <c r="AH20" s="15">
        <f>-2*Psi!AG20/p_h^2</f>
        <v/>
      </c>
    </row>
    <row r="21">
      <c r="A21" s="7">
        <f>A20-p_h</f>
        <v/>
      </c>
      <c r="B21" s="15">
        <f>-2*Psi!C21/p_h^2</f>
        <v/>
      </c>
      <c r="C21" s="15">
        <f>IF(p_reset=1,0,C21+p_dt*(-u_vel!C21*((1-p_theta)*(D21-B21)/(2*p_h)+p_theta*IF(u_vel!C21&gt;0,(C21-B21),(D21-C21))/p_h)-v_vel!C21*((1-p_theta)*(C20-C22)/(2*p_h)+p_theta*IF(v_vel!C21&gt;0,(C21-C22),(C20-C21))/p_h)+p_nu*(D21+B21+C20+C22-4*C21)/p_h^2))</f>
        <v/>
      </c>
      <c r="D21" s="15">
        <f>IF(p_reset=1,0,D21+p_dt*(-u_vel!D21*((1-p_theta)*(E21-C21)/(2*p_h)+p_theta*IF(u_vel!D21&gt;0,(D21-C21),(E21-D21))/p_h)-v_vel!D21*((1-p_theta)*(D20-D22)/(2*p_h)+p_theta*IF(v_vel!D21&gt;0,(D21-D22),(D20-D21))/p_h)+p_nu*(E21+C21+D20+D22-4*D21)/p_h^2))</f>
        <v/>
      </c>
      <c r="E21" s="15">
        <f>IF(p_reset=1,0,E21+p_dt*(-u_vel!E21*((1-p_theta)*(F21-D21)/(2*p_h)+p_theta*IF(u_vel!E21&gt;0,(E21-D21),(F21-E21))/p_h)-v_vel!E21*((1-p_theta)*(E20-E22)/(2*p_h)+p_theta*IF(v_vel!E21&gt;0,(E21-E22),(E20-E21))/p_h)+p_nu*(F21+D21+E20+E22-4*E21)/p_h^2))</f>
        <v/>
      </c>
      <c r="F21" s="15">
        <f>IF(p_reset=1,0,F21+p_dt*(-u_vel!F21*((1-p_theta)*(G21-E21)/(2*p_h)+p_theta*IF(u_vel!F21&gt;0,(F21-E21),(G21-F21))/p_h)-v_vel!F21*((1-p_theta)*(F20-F22)/(2*p_h)+p_theta*IF(v_vel!F21&gt;0,(F21-F22),(F20-F21))/p_h)+p_nu*(G21+E21+F20+F22-4*F21)/p_h^2))</f>
        <v/>
      </c>
      <c r="G21" s="15">
        <f>IF(p_reset=1,0,G21+p_dt*(-u_vel!G21*((1-p_theta)*(H21-F21)/(2*p_h)+p_theta*IF(u_vel!G21&gt;0,(G21-F21),(H21-G21))/p_h)-v_vel!G21*((1-p_theta)*(G20-G22)/(2*p_h)+p_theta*IF(v_vel!G21&gt;0,(G21-G22),(G20-G21))/p_h)+p_nu*(H21+F21+G20+G22-4*G21)/p_h^2))</f>
        <v/>
      </c>
      <c r="H21" s="15">
        <f>IF(p_reset=1,0,H21+p_dt*(-u_vel!H21*((1-p_theta)*(I21-G21)/(2*p_h)+p_theta*IF(u_vel!H21&gt;0,(H21-G21),(I21-H21))/p_h)-v_vel!H21*((1-p_theta)*(H20-H22)/(2*p_h)+p_theta*IF(v_vel!H21&gt;0,(H21-H22),(H20-H21))/p_h)+p_nu*(I21+G21+H20+H22-4*H21)/p_h^2))</f>
        <v/>
      </c>
      <c r="I21" s="15">
        <f>IF(p_reset=1,0,I21+p_dt*(-u_vel!I21*((1-p_theta)*(J21-H21)/(2*p_h)+p_theta*IF(u_vel!I21&gt;0,(I21-H21),(J21-I21))/p_h)-v_vel!I21*((1-p_theta)*(I20-I22)/(2*p_h)+p_theta*IF(v_vel!I21&gt;0,(I21-I22),(I20-I21))/p_h)+p_nu*(J21+H21+I20+I22-4*I21)/p_h^2))</f>
        <v/>
      </c>
      <c r="J21" s="15">
        <f>IF(p_reset=1,0,J21+p_dt*(-u_vel!J21*((1-p_theta)*(K21-I21)/(2*p_h)+p_theta*IF(u_vel!J21&gt;0,(J21-I21),(K21-J21))/p_h)-v_vel!J21*((1-p_theta)*(J20-J22)/(2*p_h)+p_theta*IF(v_vel!J21&gt;0,(J21-J22),(J20-J21))/p_h)+p_nu*(K21+I21+J20+J22-4*J21)/p_h^2))</f>
        <v/>
      </c>
      <c r="K21" s="15">
        <f>IF(p_reset=1,0,K21+p_dt*(-u_vel!K21*((1-p_theta)*(L21-J21)/(2*p_h)+p_theta*IF(u_vel!K21&gt;0,(K21-J21),(L21-K21))/p_h)-v_vel!K21*((1-p_theta)*(K20-K22)/(2*p_h)+p_theta*IF(v_vel!K21&gt;0,(K21-K22),(K20-K21))/p_h)+p_nu*(L21+J21+K20+K22-4*K21)/p_h^2))</f>
        <v/>
      </c>
      <c r="L21" s="15">
        <f>IF(p_reset=1,0,L21+p_dt*(-u_vel!L21*((1-p_theta)*(M21-K21)/(2*p_h)+p_theta*IF(u_vel!L21&gt;0,(L21-K21),(M21-L21))/p_h)-v_vel!L21*((1-p_theta)*(L20-L22)/(2*p_h)+p_theta*IF(v_vel!L21&gt;0,(L21-L22),(L20-L21))/p_h)+p_nu*(M21+K21+L20+L22-4*L21)/p_h^2))</f>
        <v/>
      </c>
      <c r="M21" s="15">
        <f>IF(p_reset=1,0,M21+p_dt*(-u_vel!M21*((1-p_theta)*(N21-L21)/(2*p_h)+p_theta*IF(u_vel!M21&gt;0,(M21-L21),(N21-M21))/p_h)-v_vel!M21*((1-p_theta)*(M20-M22)/(2*p_h)+p_theta*IF(v_vel!M21&gt;0,(M21-M22),(M20-M21))/p_h)+p_nu*(N21+L21+M20+M22-4*M21)/p_h^2))</f>
        <v/>
      </c>
      <c r="N21" s="15">
        <f>IF(p_reset=1,0,N21+p_dt*(-u_vel!N21*((1-p_theta)*(O21-M21)/(2*p_h)+p_theta*IF(u_vel!N21&gt;0,(N21-M21),(O21-N21))/p_h)-v_vel!N21*((1-p_theta)*(N20-N22)/(2*p_h)+p_theta*IF(v_vel!N21&gt;0,(N21-N22),(N20-N21))/p_h)+p_nu*(O21+M21+N20+N22-4*N21)/p_h^2))</f>
        <v/>
      </c>
      <c r="O21" s="15">
        <f>IF(p_reset=1,0,O21+p_dt*(-u_vel!O21*((1-p_theta)*(P21-N21)/(2*p_h)+p_theta*IF(u_vel!O21&gt;0,(O21-N21),(P21-O21))/p_h)-v_vel!O21*((1-p_theta)*(O20-O22)/(2*p_h)+p_theta*IF(v_vel!O21&gt;0,(O21-O22),(O20-O21))/p_h)+p_nu*(P21+N21+O20+O22-4*O21)/p_h^2))</f>
        <v/>
      </c>
      <c r="P21" s="15">
        <f>IF(p_reset=1,0,P21+p_dt*(-u_vel!P21*((1-p_theta)*(Q21-O21)/(2*p_h)+p_theta*IF(u_vel!P21&gt;0,(P21-O21),(Q21-P21))/p_h)-v_vel!P21*((1-p_theta)*(P20-P22)/(2*p_h)+p_theta*IF(v_vel!P21&gt;0,(P21-P22),(P20-P21))/p_h)+p_nu*(Q21+O21+P20+P22-4*P21)/p_h^2))</f>
        <v/>
      </c>
      <c r="Q21" s="15">
        <f>IF(p_reset=1,0,Q21+p_dt*(-u_vel!Q21*((1-p_theta)*(R21-P21)/(2*p_h)+p_theta*IF(u_vel!Q21&gt;0,(Q21-P21),(R21-Q21))/p_h)-v_vel!Q21*((1-p_theta)*(Q20-Q22)/(2*p_h)+p_theta*IF(v_vel!Q21&gt;0,(Q21-Q22),(Q20-Q21))/p_h)+p_nu*(R21+P21+Q20+Q22-4*Q21)/p_h^2))</f>
        <v/>
      </c>
      <c r="R21" s="15">
        <f>IF(p_reset=1,0,R21+p_dt*(-u_vel!R21*((1-p_theta)*(S21-Q21)/(2*p_h)+p_theta*IF(u_vel!R21&gt;0,(R21-Q21),(S21-R21))/p_h)-v_vel!R21*((1-p_theta)*(R20-R22)/(2*p_h)+p_theta*IF(v_vel!R21&gt;0,(R21-R22),(R20-R21))/p_h)+p_nu*(S21+Q21+R20+R22-4*R21)/p_h^2))</f>
        <v/>
      </c>
      <c r="S21" s="15">
        <f>IF(p_reset=1,0,S21+p_dt*(-u_vel!S21*((1-p_theta)*(T21-R21)/(2*p_h)+p_theta*IF(u_vel!S21&gt;0,(S21-R21),(T21-S21))/p_h)-v_vel!S21*((1-p_theta)*(S20-S22)/(2*p_h)+p_theta*IF(v_vel!S21&gt;0,(S21-S22),(S20-S21))/p_h)+p_nu*(T21+R21+S20+S22-4*S21)/p_h^2))</f>
        <v/>
      </c>
      <c r="T21" s="15">
        <f>IF(p_reset=1,0,T21+p_dt*(-u_vel!T21*((1-p_theta)*(U21-S21)/(2*p_h)+p_theta*IF(u_vel!T21&gt;0,(T21-S21),(U21-T21))/p_h)-v_vel!T21*((1-p_theta)*(T20-T22)/(2*p_h)+p_theta*IF(v_vel!T21&gt;0,(T21-T22),(T20-T21))/p_h)+p_nu*(U21+S21+T20+T22-4*T21)/p_h^2))</f>
        <v/>
      </c>
      <c r="U21" s="15">
        <f>IF(p_reset=1,0,U21+p_dt*(-u_vel!U21*((1-p_theta)*(V21-T21)/(2*p_h)+p_theta*IF(u_vel!U21&gt;0,(U21-T21),(V21-U21))/p_h)-v_vel!U21*((1-p_theta)*(U20-U22)/(2*p_h)+p_theta*IF(v_vel!U21&gt;0,(U21-U22),(U20-U21))/p_h)+p_nu*(V21+T21+U20+U22-4*U21)/p_h^2))</f>
        <v/>
      </c>
      <c r="V21" s="15">
        <f>IF(p_reset=1,0,V21+p_dt*(-u_vel!V21*((1-p_theta)*(W21-U21)/(2*p_h)+p_theta*IF(u_vel!V21&gt;0,(V21-U21),(W21-V21))/p_h)-v_vel!V21*((1-p_theta)*(V20-V22)/(2*p_h)+p_theta*IF(v_vel!V21&gt;0,(V21-V22),(V20-V21))/p_h)+p_nu*(W21+U21+V20+V22-4*V21)/p_h^2))</f>
        <v/>
      </c>
      <c r="W21" s="15">
        <f>IF(p_reset=1,0,W21+p_dt*(-u_vel!W21*((1-p_theta)*(X21-V21)/(2*p_h)+p_theta*IF(u_vel!W21&gt;0,(W21-V21),(X21-W21))/p_h)-v_vel!W21*((1-p_theta)*(W20-W22)/(2*p_h)+p_theta*IF(v_vel!W21&gt;0,(W21-W22),(W20-W21))/p_h)+p_nu*(X21+V21+W20+W22-4*W21)/p_h^2))</f>
        <v/>
      </c>
      <c r="X21" s="15">
        <f>IF(p_reset=1,0,X21+p_dt*(-u_vel!X21*((1-p_theta)*(Y21-W21)/(2*p_h)+p_theta*IF(u_vel!X21&gt;0,(X21-W21),(Y21-X21))/p_h)-v_vel!X21*((1-p_theta)*(X20-X22)/(2*p_h)+p_theta*IF(v_vel!X21&gt;0,(X21-X22),(X20-X21))/p_h)+p_nu*(Y21+W21+X20+X22-4*X21)/p_h^2))</f>
        <v/>
      </c>
      <c r="Y21" s="15">
        <f>IF(p_reset=1,0,Y21+p_dt*(-u_vel!Y21*((1-p_theta)*(Z21-X21)/(2*p_h)+p_theta*IF(u_vel!Y21&gt;0,(Y21-X21),(Z21-Y21))/p_h)-v_vel!Y21*((1-p_theta)*(Y20-Y22)/(2*p_h)+p_theta*IF(v_vel!Y21&gt;0,(Y21-Y22),(Y20-Y21))/p_h)+p_nu*(Z21+X21+Y20+Y22-4*Y21)/p_h^2))</f>
        <v/>
      </c>
      <c r="Z21" s="15">
        <f>IF(p_reset=1,0,Z21+p_dt*(-u_vel!Z21*((1-p_theta)*(AA21-Y21)/(2*p_h)+p_theta*IF(u_vel!Z21&gt;0,(Z21-Y21),(AA21-Z21))/p_h)-v_vel!Z21*((1-p_theta)*(Z20-Z22)/(2*p_h)+p_theta*IF(v_vel!Z21&gt;0,(Z21-Z22),(Z20-Z21))/p_h)+p_nu*(AA21+Y21+Z20+Z22-4*Z21)/p_h^2))</f>
        <v/>
      </c>
      <c r="AA21" s="15">
        <f>IF(p_reset=1,0,AA21+p_dt*(-u_vel!AA21*((1-p_theta)*(AB21-Z21)/(2*p_h)+p_theta*IF(u_vel!AA21&gt;0,(AA21-Z21),(AB21-AA21))/p_h)-v_vel!AA21*((1-p_theta)*(AA20-AA22)/(2*p_h)+p_theta*IF(v_vel!AA21&gt;0,(AA21-AA22),(AA20-AA21))/p_h)+p_nu*(AB21+Z21+AA20+AA22-4*AA21)/p_h^2))</f>
        <v/>
      </c>
      <c r="AB21" s="15">
        <f>IF(p_reset=1,0,AB21+p_dt*(-u_vel!AB21*((1-p_theta)*(AC21-AA21)/(2*p_h)+p_theta*IF(u_vel!AB21&gt;0,(AB21-AA21),(AC21-AB21))/p_h)-v_vel!AB21*((1-p_theta)*(AB20-AB22)/(2*p_h)+p_theta*IF(v_vel!AB21&gt;0,(AB21-AB22),(AB20-AB21))/p_h)+p_nu*(AC21+AA21+AB20+AB22-4*AB21)/p_h^2))</f>
        <v/>
      </c>
      <c r="AC21" s="15">
        <f>IF(p_reset=1,0,AC21+p_dt*(-u_vel!AC21*((1-p_theta)*(AD21-AB21)/(2*p_h)+p_theta*IF(u_vel!AC21&gt;0,(AC21-AB21),(AD21-AC21))/p_h)-v_vel!AC21*((1-p_theta)*(AC20-AC22)/(2*p_h)+p_theta*IF(v_vel!AC21&gt;0,(AC21-AC22),(AC20-AC21))/p_h)+p_nu*(AD21+AB21+AC20+AC22-4*AC21)/p_h^2))</f>
        <v/>
      </c>
      <c r="AD21" s="15">
        <f>IF(p_reset=1,0,AD21+p_dt*(-u_vel!AD21*((1-p_theta)*(AE21-AC21)/(2*p_h)+p_theta*IF(u_vel!AD21&gt;0,(AD21-AC21),(AE21-AD21))/p_h)-v_vel!AD21*((1-p_theta)*(AD20-AD22)/(2*p_h)+p_theta*IF(v_vel!AD21&gt;0,(AD21-AD22),(AD20-AD21))/p_h)+p_nu*(AE21+AC21+AD20+AD22-4*AD21)/p_h^2))</f>
        <v/>
      </c>
      <c r="AE21" s="15">
        <f>IF(p_reset=1,0,AE21+p_dt*(-u_vel!AE21*((1-p_theta)*(AF21-AD21)/(2*p_h)+p_theta*IF(u_vel!AE21&gt;0,(AE21-AD21),(AF21-AE21))/p_h)-v_vel!AE21*((1-p_theta)*(AE20-AE22)/(2*p_h)+p_theta*IF(v_vel!AE21&gt;0,(AE21-AE22),(AE20-AE21))/p_h)+p_nu*(AF21+AD21+AE20+AE22-4*AE21)/p_h^2))</f>
        <v/>
      </c>
      <c r="AF21" s="15">
        <f>IF(p_reset=1,0,AF21+p_dt*(-u_vel!AF21*((1-p_theta)*(AG21-AE21)/(2*p_h)+p_theta*IF(u_vel!AF21&gt;0,(AF21-AE21),(AG21-AF21))/p_h)-v_vel!AF21*((1-p_theta)*(AF20-AF22)/(2*p_h)+p_theta*IF(v_vel!AF21&gt;0,(AF21-AF22),(AF20-AF21))/p_h)+p_nu*(AG21+AE21+AF20+AF22-4*AF21)/p_h^2))</f>
        <v/>
      </c>
      <c r="AG21" s="15">
        <f>IF(p_reset=1,0,AG21+p_dt*(-u_vel!AG21*((1-p_theta)*(AH21-AF21)/(2*p_h)+p_theta*IF(u_vel!AG21&gt;0,(AG21-AF21),(AH21-AG21))/p_h)-v_vel!AG21*((1-p_theta)*(AG20-AG22)/(2*p_h)+p_theta*IF(v_vel!AG21&gt;0,(AG21-AG22),(AG20-AG21))/p_h)+p_nu*(AH21+AF21+AG20+AG22-4*AG21)/p_h^2))</f>
        <v/>
      </c>
      <c r="AH21" s="15">
        <f>-2*Psi!AG21/p_h^2</f>
        <v/>
      </c>
    </row>
    <row r="22">
      <c r="A22" s="7">
        <f>A21-p_h</f>
        <v/>
      </c>
      <c r="B22" s="15">
        <f>-2*Psi!C22/p_h^2</f>
        <v/>
      </c>
      <c r="C22" s="15">
        <f>IF(p_reset=1,0,C22+p_dt*(-u_vel!C22*((1-p_theta)*(D22-B22)/(2*p_h)+p_theta*IF(u_vel!C22&gt;0,(C22-B22),(D22-C22))/p_h)-v_vel!C22*((1-p_theta)*(C21-C23)/(2*p_h)+p_theta*IF(v_vel!C22&gt;0,(C22-C23),(C21-C22))/p_h)+p_nu*(D22+B22+C21+C23-4*C22)/p_h^2))</f>
        <v/>
      </c>
      <c r="D22" s="15">
        <f>IF(p_reset=1,0,D22+p_dt*(-u_vel!D22*((1-p_theta)*(E22-C22)/(2*p_h)+p_theta*IF(u_vel!D22&gt;0,(D22-C22),(E22-D22))/p_h)-v_vel!D22*((1-p_theta)*(D21-D23)/(2*p_h)+p_theta*IF(v_vel!D22&gt;0,(D22-D23),(D21-D22))/p_h)+p_nu*(E22+C22+D21+D23-4*D22)/p_h^2))</f>
        <v/>
      </c>
      <c r="E22" s="15">
        <f>IF(p_reset=1,0,E22+p_dt*(-u_vel!E22*((1-p_theta)*(F22-D22)/(2*p_h)+p_theta*IF(u_vel!E22&gt;0,(E22-D22),(F22-E22))/p_h)-v_vel!E22*((1-p_theta)*(E21-E23)/(2*p_h)+p_theta*IF(v_vel!E22&gt;0,(E22-E23),(E21-E22))/p_h)+p_nu*(F22+D22+E21+E23-4*E22)/p_h^2))</f>
        <v/>
      </c>
      <c r="F22" s="15">
        <f>IF(p_reset=1,0,F22+p_dt*(-u_vel!F22*((1-p_theta)*(G22-E22)/(2*p_h)+p_theta*IF(u_vel!F22&gt;0,(F22-E22),(G22-F22))/p_h)-v_vel!F22*((1-p_theta)*(F21-F23)/(2*p_h)+p_theta*IF(v_vel!F22&gt;0,(F22-F23),(F21-F22))/p_h)+p_nu*(G22+E22+F21+F23-4*F22)/p_h^2))</f>
        <v/>
      </c>
      <c r="G22" s="15">
        <f>IF(p_reset=1,0,G22+p_dt*(-u_vel!G22*((1-p_theta)*(H22-F22)/(2*p_h)+p_theta*IF(u_vel!G22&gt;0,(G22-F22),(H22-G22))/p_h)-v_vel!G22*((1-p_theta)*(G21-G23)/(2*p_h)+p_theta*IF(v_vel!G22&gt;0,(G22-G23),(G21-G22))/p_h)+p_nu*(H22+F22+G21+G23-4*G22)/p_h^2))</f>
        <v/>
      </c>
      <c r="H22" s="15">
        <f>IF(p_reset=1,0,H22+p_dt*(-u_vel!H22*((1-p_theta)*(I22-G22)/(2*p_h)+p_theta*IF(u_vel!H22&gt;0,(H22-G22),(I22-H22))/p_h)-v_vel!H22*((1-p_theta)*(H21-H23)/(2*p_h)+p_theta*IF(v_vel!H22&gt;0,(H22-H23),(H21-H22))/p_h)+p_nu*(I22+G22+H21+H23-4*H22)/p_h^2))</f>
        <v/>
      </c>
      <c r="I22" s="15">
        <f>IF(p_reset=1,0,I22+p_dt*(-u_vel!I22*((1-p_theta)*(J22-H22)/(2*p_h)+p_theta*IF(u_vel!I22&gt;0,(I22-H22),(J22-I22))/p_h)-v_vel!I22*((1-p_theta)*(I21-I23)/(2*p_h)+p_theta*IF(v_vel!I22&gt;0,(I22-I23),(I21-I22))/p_h)+p_nu*(J22+H22+I21+I23-4*I22)/p_h^2))</f>
        <v/>
      </c>
      <c r="J22" s="15">
        <f>IF(p_reset=1,0,J22+p_dt*(-u_vel!J22*((1-p_theta)*(K22-I22)/(2*p_h)+p_theta*IF(u_vel!J22&gt;0,(J22-I22),(K22-J22))/p_h)-v_vel!J22*((1-p_theta)*(J21-J23)/(2*p_h)+p_theta*IF(v_vel!J22&gt;0,(J22-J23),(J21-J22))/p_h)+p_nu*(K22+I22+J21+J23-4*J22)/p_h^2))</f>
        <v/>
      </c>
      <c r="K22" s="15">
        <f>IF(p_reset=1,0,K22+p_dt*(-u_vel!K22*((1-p_theta)*(L22-J22)/(2*p_h)+p_theta*IF(u_vel!K22&gt;0,(K22-J22),(L22-K22))/p_h)-v_vel!K22*((1-p_theta)*(K21-K23)/(2*p_h)+p_theta*IF(v_vel!K22&gt;0,(K22-K23),(K21-K22))/p_h)+p_nu*(L22+J22+K21+K23-4*K22)/p_h^2))</f>
        <v/>
      </c>
      <c r="L22" s="15">
        <f>IF(p_reset=1,0,L22+p_dt*(-u_vel!L22*((1-p_theta)*(M22-K22)/(2*p_h)+p_theta*IF(u_vel!L22&gt;0,(L22-K22),(M22-L22))/p_h)-v_vel!L22*((1-p_theta)*(L21-L23)/(2*p_h)+p_theta*IF(v_vel!L22&gt;0,(L22-L23),(L21-L22))/p_h)+p_nu*(M22+K22+L21+L23-4*L22)/p_h^2))</f>
        <v/>
      </c>
      <c r="M22" s="15">
        <f>IF(p_reset=1,0,M22+p_dt*(-u_vel!M22*((1-p_theta)*(N22-L22)/(2*p_h)+p_theta*IF(u_vel!M22&gt;0,(M22-L22),(N22-M22))/p_h)-v_vel!M22*((1-p_theta)*(M21-M23)/(2*p_h)+p_theta*IF(v_vel!M22&gt;0,(M22-M23),(M21-M22))/p_h)+p_nu*(N22+L22+M21+M23-4*M22)/p_h^2))</f>
        <v/>
      </c>
      <c r="N22" s="15">
        <f>IF(p_reset=1,0,N22+p_dt*(-u_vel!N22*((1-p_theta)*(O22-M22)/(2*p_h)+p_theta*IF(u_vel!N22&gt;0,(N22-M22),(O22-N22))/p_h)-v_vel!N22*((1-p_theta)*(N21-N23)/(2*p_h)+p_theta*IF(v_vel!N22&gt;0,(N22-N23),(N21-N22))/p_h)+p_nu*(O22+M22+N21+N23-4*N22)/p_h^2))</f>
        <v/>
      </c>
      <c r="O22" s="15">
        <f>IF(p_reset=1,0,O22+p_dt*(-u_vel!O22*((1-p_theta)*(P22-N22)/(2*p_h)+p_theta*IF(u_vel!O22&gt;0,(O22-N22),(P22-O22))/p_h)-v_vel!O22*((1-p_theta)*(O21-O23)/(2*p_h)+p_theta*IF(v_vel!O22&gt;0,(O22-O23),(O21-O22))/p_h)+p_nu*(P22+N22+O21+O23-4*O22)/p_h^2))</f>
        <v/>
      </c>
      <c r="P22" s="15">
        <f>IF(p_reset=1,0,P22+p_dt*(-u_vel!P22*((1-p_theta)*(Q22-O22)/(2*p_h)+p_theta*IF(u_vel!P22&gt;0,(P22-O22),(Q22-P22))/p_h)-v_vel!P22*((1-p_theta)*(P21-P23)/(2*p_h)+p_theta*IF(v_vel!P22&gt;0,(P22-P23),(P21-P22))/p_h)+p_nu*(Q22+O22+P21+P23-4*P22)/p_h^2))</f>
        <v/>
      </c>
      <c r="Q22" s="15">
        <f>IF(p_reset=1,0,Q22+p_dt*(-u_vel!Q22*((1-p_theta)*(R22-P22)/(2*p_h)+p_theta*IF(u_vel!Q22&gt;0,(Q22-P22),(R22-Q22))/p_h)-v_vel!Q22*((1-p_theta)*(Q21-Q23)/(2*p_h)+p_theta*IF(v_vel!Q22&gt;0,(Q22-Q23),(Q21-Q22))/p_h)+p_nu*(R22+P22+Q21+Q23-4*Q22)/p_h^2))</f>
        <v/>
      </c>
      <c r="R22" s="15">
        <f>IF(p_reset=1,0,R22+p_dt*(-u_vel!R22*((1-p_theta)*(S22-Q22)/(2*p_h)+p_theta*IF(u_vel!R22&gt;0,(R22-Q22),(S22-R22))/p_h)-v_vel!R22*((1-p_theta)*(R21-R23)/(2*p_h)+p_theta*IF(v_vel!R22&gt;0,(R22-R23),(R21-R22))/p_h)+p_nu*(S22+Q22+R21+R23-4*R22)/p_h^2))</f>
        <v/>
      </c>
      <c r="S22" s="15">
        <f>IF(p_reset=1,0,S22+p_dt*(-u_vel!S22*((1-p_theta)*(T22-R22)/(2*p_h)+p_theta*IF(u_vel!S22&gt;0,(S22-R22),(T22-S22))/p_h)-v_vel!S22*((1-p_theta)*(S21-S23)/(2*p_h)+p_theta*IF(v_vel!S22&gt;0,(S22-S23),(S21-S22))/p_h)+p_nu*(T22+R22+S21+S23-4*S22)/p_h^2))</f>
        <v/>
      </c>
      <c r="T22" s="15">
        <f>IF(p_reset=1,0,T22+p_dt*(-u_vel!T22*((1-p_theta)*(U22-S22)/(2*p_h)+p_theta*IF(u_vel!T22&gt;0,(T22-S22),(U22-T22))/p_h)-v_vel!T22*((1-p_theta)*(T21-T23)/(2*p_h)+p_theta*IF(v_vel!T22&gt;0,(T22-T23),(T21-T22))/p_h)+p_nu*(U22+S22+T21+T23-4*T22)/p_h^2))</f>
        <v/>
      </c>
      <c r="U22" s="15">
        <f>IF(p_reset=1,0,U22+p_dt*(-u_vel!U22*((1-p_theta)*(V22-T22)/(2*p_h)+p_theta*IF(u_vel!U22&gt;0,(U22-T22),(V22-U22))/p_h)-v_vel!U22*((1-p_theta)*(U21-U23)/(2*p_h)+p_theta*IF(v_vel!U22&gt;0,(U22-U23),(U21-U22))/p_h)+p_nu*(V22+T22+U21+U23-4*U22)/p_h^2))</f>
        <v/>
      </c>
      <c r="V22" s="15">
        <f>IF(p_reset=1,0,V22+p_dt*(-u_vel!V22*((1-p_theta)*(W22-U22)/(2*p_h)+p_theta*IF(u_vel!V22&gt;0,(V22-U22),(W22-V22))/p_h)-v_vel!V22*((1-p_theta)*(V21-V23)/(2*p_h)+p_theta*IF(v_vel!V22&gt;0,(V22-V23),(V21-V22))/p_h)+p_nu*(W22+U22+V21+V23-4*V22)/p_h^2))</f>
        <v/>
      </c>
      <c r="W22" s="15">
        <f>IF(p_reset=1,0,W22+p_dt*(-u_vel!W22*((1-p_theta)*(X22-V22)/(2*p_h)+p_theta*IF(u_vel!W22&gt;0,(W22-V22),(X22-W22))/p_h)-v_vel!W22*((1-p_theta)*(W21-W23)/(2*p_h)+p_theta*IF(v_vel!W22&gt;0,(W22-W23),(W21-W22))/p_h)+p_nu*(X22+V22+W21+W23-4*W22)/p_h^2))</f>
        <v/>
      </c>
      <c r="X22" s="15">
        <f>IF(p_reset=1,0,X22+p_dt*(-u_vel!X22*((1-p_theta)*(Y22-W22)/(2*p_h)+p_theta*IF(u_vel!X22&gt;0,(X22-W22),(Y22-X22))/p_h)-v_vel!X22*((1-p_theta)*(X21-X23)/(2*p_h)+p_theta*IF(v_vel!X22&gt;0,(X22-X23),(X21-X22))/p_h)+p_nu*(Y22+W22+X21+X23-4*X22)/p_h^2))</f>
        <v/>
      </c>
      <c r="Y22" s="15">
        <f>IF(p_reset=1,0,Y22+p_dt*(-u_vel!Y22*((1-p_theta)*(Z22-X22)/(2*p_h)+p_theta*IF(u_vel!Y22&gt;0,(Y22-X22),(Z22-Y22))/p_h)-v_vel!Y22*((1-p_theta)*(Y21-Y23)/(2*p_h)+p_theta*IF(v_vel!Y22&gt;0,(Y22-Y23),(Y21-Y22))/p_h)+p_nu*(Z22+X22+Y21+Y23-4*Y22)/p_h^2))</f>
        <v/>
      </c>
      <c r="Z22" s="15">
        <f>IF(p_reset=1,0,Z22+p_dt*(-u_vel!Z22*((1-p_theta)*(AA22-Y22)/(2*p_h)+p_theta*IF(u_vel!Z22&gt;0,(Z22-Y22),(AA22-Z22))/p_h)-v_vel!Z22*((1-p_theta)*(Z21-Z23)/(2*p_h)+p_theta*IF(v_vel!Z22&gt;0,(Z22-Z23),(Z21-Z22))/p_h)+p_nu*(AA22+Y22+Z21+Z23-4*Z22)/p_h^2))</f>
        <v/>
      </c>
      <c r="AA22" s="15">
        <f>IF(p_reset=1,0,AA22+p_dt*(-u_vel!AA22*((1-p_theta)*(AB22-Z22)/(2*p_h)+p_theta*IF(u_vel!AA22&gt;0,(AA22-Z22),(AB22-AA22))/p_h)-v_vel!AA22*((1-p_theta)*(AA21-AA23)/(2*p_h)+p_theta*IF(v_vel!AA22&gt;0,(AA22-AA23),(AA21-AA22))/p_h)+p_nu*(AB22+Z22+AA21+AA23-4*AA22)/p_h^2))</f>
        <v/>
      </c>
      <c r="AB22" s="15">
        <f>IF(p_reset=1,0,AB22+p_dt*(-u_vel!AB22*((1-p_theta)*(AC22-AA22)/(2*p_h)+p_theta*IF(u_vel!AB22&gt;0,(AB22-AA22),(AC22-AB22))/p_h)-v_vel!AB22*((1-p_theta)*(AB21-AB23)/(2*p_h)+p_theta*IF(v_vel!AB22&gt;0,(AB22-AB23),(AB21-AB22))/p_h)+p_nu*(AC22+AA22+AB21+AB23-4*AB22)/p_h^2))</f>
        <v/>
      </c>
      <c r="AC22" s="15">
        <f>IF(p_reset=1,0,AC22+p_dt*(-u_vel!AC22*((1-p_theta)*(AD22-AB22)/(2*p_h)+p_theta*IF(u_vel!AC22&gt;0,(AC22-AB22),(AD22-AC22))/p_h)-v_vel!AC22*((1-p_theta)*(AC21-AC23)/(2*p_h)+p_theta*IF(v_vel!AC22&gt;0,(AC22-AC23),(AC21-AC22))/p_h)+p_nu*(AD22+AB22+AC21+AC23-4*AC22)/p_h^2))</f>
        <v/>
      </c>
      <c r="AD22" s="15">
        <f>IF(p_reset=1,0,AD22+p_dt*(-u_vel!AD22*((1-p_theta)*(AE22-AC22)/(2*p_h)+p_theta*IF(u_vel!AD22&gt;0,(AD22-AC22),(AE22-AD22))/p_h)-v_vel!AD22*((1-p_theta)*(AD21-AD23)/(2*p_h)+p_theta*IF(v_vel!AD22&gt;0,(AD22-AD23),(AD21-AD22))/p_h)+p_nu*(AE22+AC22+AD21+AD23-4*AD22)/p_h^2))</f>
        <v/>
      </c>
      <c r="AE22" s="15">
        <f>IF(p_reset=1,0,AE22+p_dt*(-u_vel!AE22*((1-p_theta)*(AF22-AD22)/(2*p_h)+p_theta*IF(u_vel!AE22&gt;0,(AE22-AD22),(AF22-AE22))/p_h)-v_vel!AE22*((1-p_theta)*(AE21-AE23)/(2*p_h)+p_theta*IF(v_vel!AE22&gt;0,(AE22-AE23),(AE21-AE22))/p_h)+p_nu*(AF22+AD22+AE21+AE23-4*AE22)/p_h^2))</f>
        <v/>
      </c>
      <c r="AF22" s="15">
        <f>IF(p_reset=1,0,AF22+p_dt*(-u_vel!AF22*((1-p_theta)*(AG22-AE22)/(2*p_h)+p_theta*IF(u_vel!AF22&gt;0,(AF22-AE22),(AG22-AF22))/p_h)-v_vel!AF22*((1-p_theta)*(AF21-AF23)/(2*p_h)+p_theta*IF(v_vel!AF22&gt;0,(AF22-AF23),(AF21-AF22))/p_h)+p_nu*(AG22+AE22+AF21+AF23-4*AF22)/p_h^2))</f>
        <v/>
      </c>
      <c r="AG22" s="15">
        <f>IF(p_reset=1,0,AG22+p_dt*(-u_vel!AG22*((1-p_theta)*(AH22-AF22)/(2*p_h)+p_theta*IF(u_vel!AG22&gt;0,(AG22-AF22),(AH22-AG22))/p_h)-v_vel!AG22*((1-p_theta)*(AG21-AG23)/(2*p_h)+p_theta*IF(v_vel!AG22&gt;0,(AG22-AG23),(AG21-AG22))/p_h)+p_nu*(AH22+AF22+AG21+AG23-4*AG22)/p_h^2))</f>
        <v/>
      </c>
      <c r="AH22" s="15">
        <f>-2*Psi!AG22/p_h^2</f>
        <v/>
      </c>
    </row>
    <row r="23">
      <c r="A23" s="7">
        <f>A22-p_h</f>
        <v/>
      </c>
      <c r="B23" s="15">
        <f>-2*Psi!C23/p_h^2</f>
        <v/>
      </c>
      <c r="C23" s="15">
        <f>IF(p_reset=1,0,C23+p_dt*(-u_vel!C23*((1-p_theta)*(D23-B23)/(2*p_h)+p_theta*IF(u_vel!C23&gt;0,(C23-B23),(D23-C23))/p_h)-v_vel!C23*((1-p_theta)*(C22-C24)/(2*p_h)+p_theta*IF(v_vel!C23&gt;0,(C23-C24),(C22-C23))/p_h)+p_nu*(D23+B23+C22+C24-4*C23)/p_h^2))</f>
        <v/>
      </c>
      <c r="D23" s="15">
        <f>IF(p_reset=1,0,D23+p_dt*(-u_vel!D23*((1-p_theta)*(E23-C23)/(2*p_h)+p_theta*IF(u_vel!D23&gt;0,(D23-C23),(E23-D23))/p_h)-v_vel!D23*((1-p_theta)*(D22-D24)/(2*p_h)+p_theta*IF(v_vel!D23&gt;0,(D23-D24),(D22-D23))/p_h)+p_nu*(E23+C23+D22+D24-4*D23)/p_h^2))</f>
        <v/>
      </c>
      <c r="E23" s="15">
        <f>IF(p_reset=1,0,E23+p_dt*(-u_vel!E23*((1-p_theta)*(F23-D23)/(2*p_h)+p_theta*IF(u_vel!E23&gt;0,(E23-D23),(F23-E23))/p_h)-v_vel!E23*((1-p_theta)*(E22-E24)/(2*p_h)+p_theta*IF(v_vel!E23&gt;0,(E23-E24),(E22-E23))/p_h)+p_nu*(F23+D23+E22+E24-4*E23)/p_h^2))</f>
        <v/>
      </c>
      <c r="F23" s="15">
        <f>IF(p_reset=1,0,F23+p_dt*(-u_vel!F23*((1-p_theta)*(G23-E23)/(2*p_h)+p_theta*IF(u_vel!F23&gt;0,(F23-E23),(G23-F23))/p_h)-v_vel!F23*((1-p_theta)*(F22-F24)/(2*p_h)+p_theta*IF(v_vel!F23&gt;0,(F23-F24),(F22-F23))/p_h)+p_nu*(G23+E23+F22+F24-4*F23)/p_h^2))</f>
        <v/>
      </c>
      <c r="G23" s="15">
        <f>IF(p_reset=1,0,G23+p_dt*(-u_vel!G23*((1-p_theta)*(H23-F23)/(2*p_h)+p_theta*IF(u_vel!G23&gt;0,(G23-F23),(H23-G23))/p_h)-v_vel!G23*((1-p_theta)*(G22-G24)/(2*p_h)+p_theta*IF(v_vel!G23&gt;0,(G23-G24),(G22-G23))/p_h)+p_nu*(H23+F23+G22+G24-4*G23)/p_h^2))</f>
        <v/>
      </c>
      <c r="H23" s="15">
        <f>IF(p_reset=1,0,H23+p_dt*(-u_vel!H23*((1-p_theta)*(I23-G23)/(2*p_h)+p_theta*IF(u_vel!H23&gt;0,(H23-G23),(I23-H23))/p_h)-v_vel!H23*((1-p_theta)*(H22-H24)/(2*p_h)+p_theta*IF(v_vel!H23&gt;0,(H23-H24),(H22-H23))/p_h)+p_nu*(I23+G23+H22+H24-4*H23)/p_h^2))</f>
        <v/>
      </c>
      <c r="I23" s="15">
        <f>IF(p_reset=1,0,I23+p_dt*(-u_vel!I23*((1-p_theta)*(J23-H23)/(2*p_h)+p_theta*IF(u_vel!I23&gt;0,(I23-H23),(J23-I23))/p_h)-v_vel!I23*((1-p_theta)*(I22-I24)/(2*p_h)+p_theta*IF(v_vel!I23&gt;0,(I23-I24),(I22-I23))/p_h)+p_nu*(J23+H23+I22+I24-4*I23)/p_h^2))</f>
        <v/>
      </c>
      <c r="J23" s="15">
        <f>IF(p_reset=1,0,J23+p_dt*(-u_vel!J23*((1-p_theta)*(K23-I23)/(2*p_h)+p_theta*IF(u_vel!J23&gt;0,(J23-I23),(K23-J23))/p_h)-v_vel!J23*((1-p_theta)*(J22-J24)/(2*p_h)+p_theta*IF(v_vel!J23&gt;0,(J23-J24),(J22-J23))/p_h)+p_nu*(K23+I23+J22+J24-4*J23)/p_h^2))</f>
        <v/>
      </c>
      <c r="K23" s="15">
        <f>IF(p_reset=1,0,K23+p_dt*(-u_vel!K23*((1-p_theta)*(L23-J23)/(2*p_h)+p_theta*IF(u_vel!K23&gt;0,(K23-J23),(L23-K23))/p_h)-v_vel!K23*((1-p_theta)*(K22-K24)/(2*p_h)+p_theta*IF(v_vel!K23&gt;0,(K23-K24),(K22-K23))/p_h)+p_nu*(L23+J23+K22+K24-4*K23)/p_h^2))</f>
        <v/>
      </c>
      <c r="L23" s="15">
        <f>IF(p_reset=1,0,L23+p_dt*(-u_vel!L23*((1-p_theta)*(M23-K23)/(2*p_h)+p_theta*IF(u_vel!L23&gt;0,(L23-K23),(M23-L23))/p_h)-v_vel!L23*((1-p_theta)*(L22-L24)/(2*p_h)+p_theta*IF(v_vel!L23&gt;0,(L23-L24),(L22-L23))/p_h)+p_nu*(M23+K23+L22+L24-4*L23)/p_h^2))</f>
        <v/>
      </c>
      <c r="M23" s="15">
        <f>IF(p_reset=1,0,M23+p_dt*(-u_vel!M23*((1-p_theta)*(N23-L23)/(2*p_h)+p_theta*IF(u_vel!M23&gt;0,(M23-L23),(N23-M23))/p_h)-v_vel!M23*((1-p_theta)*(M22-M24)/(2*p_h)+p_theta*IF(v_vel!M23&gt;0,(M23-M24),(M22-M23))/p_h)+p_nu*(N23+L23+M22+M24-4*M23)/p_h^2))</f>
        <v/>
      </c>
      <c r="N23" s="15">
        <f>IF(p_reset=1,0,N23+p_dt*(-u_vel!N23*((1-p_theta)*(O23-M23)/(2*p_h)+p_theta*IF(u_vel!N23&gt;0,(N23-M23),(O23-N23))/p_h)-v_vel!N23*((1-p_theta)*(N22-N24)/(2*p_h)+p_theta*IF(v_vel!N23&gt;0,(N23-N24),(N22-N23))/p_h)+p_nu*(O23+M23+N22+N24-4*N23)/p_h^2))</f>
        <v/>
      </c>
      <c r="O23" s="15">
        <f>IF(p_reset=1,0,O23+p_dt*(-u_vel!O23*((1-p_theta)*(P23-N23)/(2*p_h)+p_theta*IF(u_vel!O23&gt;0,(O23-N23),(P23-O23))/p_h)-v_vel!O23*((1-p_theta)*(O22-O24)/(2*p_h)+p_theta*IF(v_vel!O23&gt;0,(O23-O24),(O22-O23))/p_h)+p_nu*(P23+N23+O22+O24-4*O23)/p_h^2))</f>
        <v/>
      </c>
      <c r="P23" s="15">
        <f>IF(p_reset=1,0,P23+p_dt*(-u_vel!P23*((1-p_theta)*(Q23-O23)/(2*p_h)+p_theta*IF(u_vel!P23&gt;0,(P23-O23),(Q23-P23))/p_h)-v_vel!P23*((1-p_theta)*(P22-P24)/(2*p_h)+p_theta*IF(v_vel!P23&gt;0,(P23-P24),(P22-P23))/p_h)+p_nu*(Q23+O23+P22+P24-4*P23)/p_h^2))</f>
        <v/>
      </c>
      <c r="Q23" s="15">
        <f>IF(p_reset=1,0,Q23+p_dt*(-u_vel!Q23*((1-p_theta)*(R23-P23)/(2*p_h)+p_theta*IF(u_vel!Q23&gt;0,(Q23-P23),(R23-Q23))/p_h)-v_vel!Q23*((1-p_theta)*(Q22-Q24)/(2*p_h)+p_theta*IF(v_vel!Q23&gt;0,(Q23-Q24),(Q22-Q23))/p_h)+p_nu*(R23+P23+Q22+Q24-4*Q23)/p_h^2))</f>
        <v/>
      </c>
      <c r="R23" s="15">
        <f>IF(p_reset=1,0,R23+p_dt*(-u_vel!R23*((1-p_theta)*(S23-Q23)/(2*p_h)+p_theta*IF(u_vel!R23&gt;0,(R23-Q23),(S23-R23))/p_h)-v_vel!R23*((1-p_theta)*(R22-R24)/(2*p_h)+p_theta*IF(v_vel!R23&gt;0,(R23-R24),(R22-R23))/p_h)+p_nu*(S23+Q23+R22+R24-4*R23)/p_h^2))</f>
        <v/>
      </c>
      <c r="S23" s="15">
        <f>IF(p_reset=1,0,S23+p_dt*(-u_vel!S23*((1-p_theta)*(T23-R23)/(2*p_h)+p_theta*IF(u_vel!S23&gt;0,(S23-R23),(T23-S23))/p_h)-v_vel!S23*((1-p_theta)*(S22-S24)/(2*p_h)+p_theta*IF(v_vel!S23&gt;0,(S23-S24),(S22-S23))/p_h)+p_nu*(T23+R23+S22+S24-4*S23)/p_h^2))</f>
        <v/>
      </c>
      <c r="T23" s="15">
        <f>IF(p_reset=1,0,T23+p_dt*(-u_vel!T23*((1-p_theta)*(U23-S23)/(2*p_h)+p_theta*IF(u_vel!T23&gt;0,(T23-S23),(U23-T23))/p_h)-v_vel!T23*((1-p_theta)*(T22-T24)/(2*p_h)+p_theta*IF(v_vel!T23&gt;0,(T23-T24),(T22-T23))/p_h)+p_nu*(U23+S23+T22+T24-4*T23)/p_h^2))</f>
        <v/>
      </c>
      <c r="U23" s="15">
        <f>IF(p_reset=1,0,U23+p_dt*(-u_vel!U23*((1-p_theta)*(V23-T23)/(2*p_h)+p_theta*IF(u_vel!U23&gt;0,(U23-T23),(V23-U23))/p_h)-v_vel!U23*((1-p_theta)*(U22-U24)/(2*p_h)+p_theta*IF(v_vel!U23&gt;0,(U23-U24),(U22-U23))/p_h)+p_nu*(V23+T23+U22+U24-4*U23)/p_h^2))</f>
        <v/>
      </c>
      <c r="V23" s="15">
        <f>IF(p_reset=1,0,V23+p_dt*(-u_vel!V23*((1-p_theta)*(W23-U23)/(2*p_h)+p_theta*IF(u_vel!V23&gt;0,(V23-U23),(W23-V23))/p_h)-v_vel!V23*((1-p_theta)*(V22-V24)/(2*p_h)+p_theta*IF(v_vel!V23&gt;0,(V23-V24),(V22-V23))/p_h)+p_nu*(W23+U23+V22+V24-4*V23)/p_h^2))</f>
        <v/>
      </c>
      <c r="W23" s="15">
        <f>IF(p_reset=1,0,W23+p_dt*(-u_vel!W23*((1-p_theta)*(X23-V23)/(2*p_h)+p_theta*IF(u_vel!W23&gt;0,(W23-V23),(X23-W23))/p_h)-v_vel!W23*((1-p_theta)*(W22-W24)/(2*p_h)+p_theta*IF(v_vel!W23&gt;0,(W23-W24),(W22-W23))/p_h)+p_nu*(X23+V23+W22+W24-4*W23)/p_h^2))</f>
        <v/>
      </c>
      <c r="X23" s="15">
        <f>IF(p_reset=1,0,X23+p_dt*(-u_vel!X23*((1-p_theta)*(Y23-W23)/(2*p_h)+p_theta*IF(u_vel!X23&gt;0,(X23-W23),(Y23-X23))/p_h)-v_vel!X23*((1-p_theta)*(X22-X24)/(2*p_h)+p_theta*IF(v_vel!X23&gt;0,(X23-X24),(X22-X23))/p_h)+p_nu*(Y23+W23+X22+X24-4*X23)/p_h^2))</f>
        <v/>
      </c>
      <c r="Y23" s="15">
        <f>IF(p_reset=1,0,Y23+p_dt*(-u_vel!Y23*((1-p_theta)*(Z23-X23)/(2*p_h)+p_theta*IF(u_vel!Y23&gt;0,(Y23-X23),(Z23-Y23))/p_h)-v_vel!Y23*((1-p_theta)*(Y22-Y24)/(2*p_h)+p_theta*IF(v_vel!Y23&gt;0,(Y23-Y24),(Y22-Y23))/p_h)+p_nu*(Z23+X23+Y22+Y24-4*Y23)/p_h^2))</f>
        <v/>
      </c>
      <c r="Z23" s="15">
        <f>IF(p_reset=1,0,Z23+p_dt*(-u_vel!Z23*((1-p_theta)*(AA23-Y23)/(2*p_h)+p_theta*IF(u_vel!Z23&gt;0,(Z23-Y23),(AA23-Z23))/p_h)-v_vel!Z23*((1-p_theta)*(Z22-Z24)/(2*p_h)+p_theta*IF(v_vel!Z23&gt;0,(Z23-Z24),(Z22-Z23))/p_h)+p_nu*(AA23+Y23+Z22+Z24-4*Z23)/p_h^2))</f>
        <v/>
      </c>
      <c r="AA23" s="15">
        <f>IF(p_reset=1,0,AA23+p_dt*(-u_vel!AA23*((1-p_theta)*(AB23-Z23)/(2*p_h)+p_theta*IF(u_vel!AA23&gt;0,(AA23-Z23),(AB23-AA23))/p_h)-v_vel!AA23*((1-p_theta)*(AA22-AA24)/(2*p_h)+p_theta*IF(v_vel!AA23&gt;0,(AA23-AA24),(AA22-AA23))/p_h)+p_nu*(AB23+Z23+AA22+AA24-4*AA23)/p_h^2))</f>
        <v/>
      </c>
      <c r="AB23" s="15">
        <f>IF(p_reset=1,0,AB23+p_dt*(-u_vel!AB23*((1-p_theta)*(AC23-AA23)/(2*p_h)+p_theta*IF(u_vel!AB23&gt;0,(AB23-AA23),(AC23-AB23))/p_h)-v_vel!AB23*((1-p_theta)*(AB22-AB24)/(2*p_h)+p_theta*IF(v_vel!AB23&gt;0,(AB23-AB24),(AB22-AB23))/p_h)+p_nu*(AC23+AA23+AB22+AB24-4*AB23)/p_h^2))</f>
        <v/>
      </c>
      <c r="AC23" s="15">
        <f>IF(p_reset=1,0,AC23+p_dt*(-u_vel!AC23*((1-p_theta)*(AD23-AB23)/(2*p_h)+p_theta*IF(u_vel!AC23&gt;0,(AC23-AB23),(AD23-AC23))/p_h)-v_vel!AC23*((1-p_theta)*(AC22-AC24)/(2*p_h)+p_theta*IF(v_vel!AC23&gt;0,(AC23-AC24),(AC22-AC23))/p_h)+p_nu*(AD23+AB23+AC22+AC24-4*AC23)/p_h^2))</f>
        <v/>
      </c>
      <c r="AD23" s="15">
        <f>IF(p_reset=1,0,AD23+p_dt*(-u_vel!AD23*((1-p_theta)*(AE23-AC23)/(2*p_h)+p_theta*IF(u_vel!AD23&gt;0,(AD23-AC23),(AE23-AD23))/p_h)-v_vel!AD23*((1-p_theta)*(AD22-AD24)/(2*p_h)+p_theta*IF(v_vel!AD23&gt;0,(AD23-AD24),(AD22-AD23))/p_h)+p_nu*(AE23+AC23+AD22+AD24-4*AD23)/p_h^2))</f>
        <v/>
      </c>
      <c r="AE23" s="15">
        <f>IF(p_reset=1,0,AE23+p_dt*(-u_vel!AE23*((1-p_theta)*(AF23-AD23)/(2*p_h)+p_theta*IF(u_vel!AE23&gt;0,(AE23-AD23),(AF23-AE23))/p_h)-v_vel!AE23*((1-p_theta)*(AE22-AE24)/(2*p_h)+p_theta*IF(v_vel!AE23&gt;0,(AE23-AE24),(AE22-AE23))/p_h)+p_nu*(AF23+AD23+AE22+AE24-4*AE23)/p_h^2))</f>
        <v/>
      </c>
      <c r="AF23" s="15">
        <f>IF(p_reset=1,0,AF23+p_dt*(-u_vel!AF23*((1-p_theta)*(AG23-AE23)/(2*p_h)+p_theta*IF(u_vel!AF23&gt;0,(AF23-AE23),(AG23-AF23))/p_h)-v_vel!AF23*((1-p_theta)*(AF22-AF24)/(2*p_h)+p_theta*IF(v_vel!AF23&gt;0,(AF23-AF24),(AF22-AF23))/p_h)+p_nu*(AG23+AE23+AF22+AF24-4*AF23)/p_h^2))</f>
        <v/>
      </c>
      <c r="AG23" s="15">
        <f>IF(p_reset=1,0,AG23+p_dt*(-u_vel!AG23*((1-p_theta)*(AH23-AF23)/(2*p_h)+p_theta*IF(u_vel!AG23&gt;0,(AG23-AF23),(AH23-AG23))/p_h)-v_vel!AG23*((1-p_theta)*(AG22-AG24)/(2*p_h)+p_theta*IF(v_vel!AG23&gt;0,(AG23-AG24),(AG22-AG23))/p_h)+p_nu*(AH23+AF23+AG22+AG24-4*AG23)/p_h^2))</f>
        <v/>
      </c>
      <c r="AH23" s="15">
        <f>-2*Psi!AG23/p_h^2</f>
        <v/>
      </c>
    </row>
    <row r="24">
      <c r="A24" s="7">
        <f>A23-p_h</f>
        <v/>
      </c>
      <c r="B24" s="15">
        <f>-2*Psi!C24/p_h^2</f>
        <v/>
      </c>
      <c r="C24" s="15">
        <f>IF(p_reset=1,0,C24+p_dt*(-u_vel!C24*((1-p_theta)*(D24-B24)/(2*p_h)+p_theta*IF(u_vel!C24&gt;0,(C24-B24),(D24-C24))/p_h)-v_vel!C24*((1-p_theta)*(C23-C25)/(2*p_h)+p_theta*IF(v_vel!C24&gt;0,(C24-C25),(C23-C24))/p_h)+p_nu*(D24+B24+C23+C25-4*C24)/p_h^2))</f>
        <v/>
      </c>
      <c r="D24" s="15">
        <f>IF(p_reset=1,0,D24+p_dt*(-u_vel!D24*((1-p_theta)*(E24-C24)/(2*p_h)+p_theta*IF(u_vel!D24&gt;0,(D24-C24),(E24-D24))/p_h)-v_vel!D24*((1-p_theta)*(D23-D25)/(2*p_h)+p_theta*IF(v_vel!D24&gt;0,(D24-D25),(D23-D24))/p_h)+p_nu*(E24+C24+D23+D25-4*D24)/p_h^2))</f>
        <v/>
      </c>
      <c r="E24" s="15">
        <f>IF(p_reset=1,0,E24+p_dt*(-u_vel!E24*((1-p_theta)*(F24-D24)/(2*p_h)+p_theta*IF(u_vel!E24&gt;0,(E24-D24),(F24-E24))/p_h)-v_vel!E24*((1-p_theta)*(E23-E25)/(2*p_h)+p_theta*IF(v_vel!E24&gt;0,(E24-E25),(E23-E24))/p_h)+p_nu*(F24+D24+E23+E25-4*E24)/p_h^2))</f>
        <v/>
      </c>
      <c r="F24" s="15">
        <f>IF(p_reset=1,0,F24+p_dt*(-u_vel!F24*((1-p_theta)*(G24-E24)/(2*p_h)+p_theta*IF(u_vel!F24&gt;0,(F24-E24),(G24-F24))/p_h)-v_vel!F24*((1-p_theta)*(F23-F25)/(2*p_h)+p_theta*IF(v_vel!F24&gt;0,(F24-F25),(F23-F24))/p_h)+p_nu*(G24+E24+F23+F25-4*F24)/p_h^2))</f>
        <v/>
      </c>
      <c r="G24" s="15">
        <f>IF(p_reset=1,0,G24+p_dt*(-u_vel!G24*((1-p_theta)*(H24-F24)/(2*p_h)+p_theta*IF(u_vel!G24&gt;0,(G24-F24),(H24-G24))/p_h)-v_vel!G24*((1-p_theta)*(G23-G25)/(2*p_h)+p_theta*IF(v_vel!G24&gt;0,(G24-G25),(G23-G24))/p_h)+p_nu*(H24+F24+G23+G25-4*G24)/p_h^2))</f>
        <v/>
      </c>
      <c r="H24" s="15">
        <f>IF(p_reset=1,0,H24+p_dt*(-u_vel!H24*((1-p_theta)*(I24-G24)/(2*p_h)+p_theta*IF(u_vel!H24&gt;0,(H24-G24),(I24-H24))/p_h)-v_vel!H24*((1-p_theta)*(H23-H25)/(2*p_h)+p_theta*IF(v_vel!H24&gt;0,(H24-H25),(H23-H24))/p_h)+p_nu*(I24+G24+H23+H25-4*H24)/p_h^2))</f>
        <v/>
      </c>
      <c r="I24" s="15">
        <f>IF(p_reset=1,0,I24+p_dt*(-u_vel!I24*((1-p_theta)*(J24-H24)/(2*p_h)+p_theta*IF(u_vel!I24&gt;0,(I24-H24),(J24-I24))/p_h)-v_vel!I24*((1-p_theta)*(I23-I25)/(2*p_h)+p_theta*IF(v_vel!I24&gt;0,(I24-I25),(I23-I24))/p_h)+p_nu*(J24+H24+I23+I25-4*I24)/p_h^2))</f>
        <v/>
      </c>
      <c r="J24" s="15">
        <f>IF(p_reset=1,0,J24+p_dt*(-u_vel!J24*((1-p_theta)*(K24-I24)/(2*p_h)+p_theta*IF(u_vel!J24&gt;0,(J24-I24),(K24-J24))/p_h)-v_vel!J24*((1-p_theta)*(J23-J25)/(2*p_h)+p_theta*IF(v_vel!J24&gt;0,(J24-J25),(J23-J24))/p_h)+p_nu*(K24+I24+J23+J25-4*J24)/p_h^2))</f>
        <v/>
      </c>
      <c r="K24" s="15">
        <f>IF(p_reset=1,0,K24+p_dt*(-u_vel!K24*((1-p_theta)*(L24-J24)/(2*p_h)+p_theta*IF(u_vel!K24&gt;0,(K24-J24),(L24-K24))/p_h)-v_vel!K24*((1-p_theta)*(K23-K25)/(2*p_h)+p_theta*IF(v_vel!K24&gt;0,(K24-K25),(K23-K24))/p_h)+p_nu*(L24+J24+K23+K25-4*K24)/p_h^2))</f>
        <v/>
      </c>
      <c r="L24" s="15">
        <f>IF(p_reset=1,0,L24+p_dt*(-u_vel!L24*((1-p_theta)*(M24-K24)/(2*p_h)+p_theta*IF(u_vel!L24&gt;0,(L24-K24),(M24-L24))/p_h)-v_vel!L24*((1-p_theta)*(L23-L25)/(2*p_h)+p_theta*IF(v_vel!L24&gt;0,(L24-L25),(L23-L24))/p_h)+p_nu*(M24+K24+L23+L25-4*L24)/p_h^2))</f>
        <v/>
      </c>
      <c r="M24" s="15">
        <f>IF(p_reset=1,0,M24+p_dt*(-u_vel!M24*((1-p_theta)*(N24-L24)/(2*p_h)+p_theta*IF(u_vel!M24&gt;0,(M24-L24),(N24-M24))/p_h)-v_vel!M24*((1-p_theta)*(M23-M25)/(2*p_h)+p_theta*IF(v_vel!M24&gt;0,(M24-M25),(M23-M24))/p_h)+p_nu*(N24+L24+M23+M25-4*M24)/p_h^2))</f>
        <v/>
      </c>
      <c r="N24" s="15">
        <f>IF(p_reset=1,0,N24+p_dt*(-u_vel!N24*((1-p_theta)*(O24-M24)/(2*p_h)+p_theta*IF(u_vel!N24&gt;0,(N24-M24),(O24-N24))/p_h)-v_vel!N24*((1-p_theta)*(N23-N25)/(2*p_h)+p_theta*IF(v_vel!N24&gt;0,(N24-N25),(N23-N24))/p_h)+p_nu*(O24+M24+N23+N25-4*N24)/p_h^2))</f>
        <v/>
      </c>
      <c r="O24" s="15">
        <f>IF(p_reset=1,0,O24+p_dt*(-u_vel!O24*((1-p_theta)*(P24-N24)/(2*p_h)+p_theta*IF(u_vel!O24&gt;0,(O24-N24),(P24-O24))/p_h)-v_vel!O24*((1-p_theta)*(O23-O25)/(2*p_h)+p_theta*IF(v_vel!O24&gt;0,(O24-O25),(O23-O24))/p_h)+p_nu*(P24+N24+O23+O25-4*O24)/p_h^2))</f>
        <v/>
      </c>
      <c r="P24" s="15">
        <f>IF(p_reset=1,0,P24+p_dt*(-u_vel!P24*((1-p_theta)*(Q24-O24)/(2*p_h)+p_theta*IF(u_vel!P24&gt;0,(P24-O24),(Q24-P24))/p_h)-v_vel!P24*((1-p_theta)*(P23-P25)/(2*p_h)+p_theta*IF(v_vel!P24&gt;0,(P24-P25),(P23-P24))/p_h)+p_nu*(Q24+O24+P23+P25-4*P24)/p_h^2))</f>
        <v/>
      </c>
      <c r="Q24" s="15">
        <f>IF(p_reset=1,0,Q24+p_dt*(-u_vel!Q24*((1-p_theta)*(R24-P24)/(2*p_h)+p_theta*IF(u_vel!Q24&gt;0,(Q24-P24),(R24-Q24))/p_h)-v_vel!Q24*((1-p_theta)*(Q23-Q25)/(2*p_h)+p_theta*IF(v_vel!Q24&gt;0,(Q24-Q25),(Q23-Q24))/p_h)+p_nu*(R24+P24+Q23+Q25-4*Q24)/p_h^2))</f>
        <v/>
      </c>
      <c r="R24" s="15">
        <f>IF(p_reset=1,0,R24+p_dt*(-u_vel!R24*((1-p_theta)*(S24-Q24)/(2*p_h)+p_theta*IF(u_vel!R24&gt;0,(R24-Q24),(S24-R24))/p_h)-v_vel!R24*((1-p_theta)*(R23-R25)/(2*p_h)+p_theta*IF(v_vel!R24&gt;0,(R24-R25),(R23-R24))/p_h)+p_nu*(S24+Q24+R23+R25-4*R24)/p_h^2))</f>
        <v/>
      </c>
      <c r="S24" s="15">
        <f>IF(p_reset=1,0,S24+p_dt*(-u_vel!S24*((1-p_theta)*(T24-R24)/(2*p_h)+p_theta*IF(u_vel!S24&gt;0,(S24-R24),(T24-S24))/p_h)-v_vel!S24*((1-p_theta)*(S23-S25)/(2*p_h)+p_theta*IF(v_vel!S24&gt;0,(S24-S25),(S23-S24))/p_h)+p_nu*(T24+R24+S23+S25-4*S24)/p_h^2))</f>
        <v/>
      </c>
      <c r="T24" s="15">
        <f>IF(p_reset=1,0,T24+p_dt*(-u_vel!T24*((1-p_theta)*(U24-S24)/(2*p_h)+p_theta*IF(u_vel!T24&gt;0,(T24-S24),(U24-T24))/p_h)-v_vel!T24*((1-p_theta)*(T23-T25)/(2*p_h)+p_theta*IF(v_vel!T24&gt;0,(T24-T25),(T23-T24))/p_h)+p_nu*(U24+S24+T23+T25-4*T24)/p_h^2))</f>
        <v/>
      </c>
      <c r="U24" s="15">
        <f>IF(p_reset=1,0,U24+p_dt*(-u_vel!U24*((1-p_theta)*(V24-T24)/(2*p_h)+p_theta*IF(u_vel!U24&gt;0,(U24-T24),(V24-U24))/p_h)-v_vel!U24*((1-p_theta)*(U23-U25)/(2*p_h)+p_theta*IF(v_vel!U24&gt;0,(U24-U25),(U23-U24))/p_h)+p_nu*(V24+T24+U23+U25-4*U24)/p_h^2))</f>
        <v/>
      </c>
      <c r="V24" s="15">
        <f>IF(p_reset=1,0,V24+p_dt*(-u_vel!V24*((1-p_theta)*(W24-U24)/(2*p_h)+p_theta*IF(u_vel!V24&gt;0,(V24-U24),(W24-V24))/p_h)-v_vel!V24*((1-p_theta)*(V23-V25)/(2*p_h)+p_theta*IF(v_vel!V24&gt;0,(V24-V25),(V23-V24))/p_h)+p_nu*(W24+U24+V23+V25-4*V24)/p_h^2))</f>
        <v/>
      </c>
      <c r="W24" s="15">
        <f>IF(p_reset=1,0,W24+p_dt*(-u_vel!W24*((1-p_theta)*(X24-V24)/(2*p_h)+p_theta*IF(u_vel!W24&gt;0,(W24-V24),(X24-W24))/p_h)-v_vel!W24*((1-p_theta)*(W23-W25)/(2*p_h)+p_theta*IF(v_vel!W24&gt;0,(W24-W25),(W23-W24))/p_h)+p_nu*(X24+V24+W23+W25-4*W24)/p_h^2))</f>
        <v/>
      </c>
      <c r="X24" s="15">
        <f>IF(p_reset=1,0,X24+p_dt*(-u_vel!X24*((1-p_theta)*(Y24-W24)/(2*p_h)+p_theta*IF(u_vel!X24&gt;0,(X24-W24),(Y24-X24))/p_h)-v_vel!X24*((1-p_theta)*(X23-X25)/(2*p_h)+p_theta*IF(v_vel!X24&gt;0,(X24-X25),(X23-X24))/p_h)+p_nu*(Y24+W24+X23+X25-4*X24)/p_h^2))</f>
        <v/>
      </c>
      <c r="Y24" s="15">
        <f>IF(p_reset=1,0,Y24+p_dt*(-u_vel!Y24*((1-p_theta)*(Z24-X24)/(2*p_h)+p_theta*IF(u_vel!Y24&gt;0,(Y24-X24),(Z24-Y24))/p_h)-v_vel!Y24*((1-p_theta)*(Y23-Y25)/(2*p_h)+p_theta*IF(v_vel!Y24&gt;0,(Y24-Y25),(Y23-Y24))/p_h)+p_nu*(Z24+X24+Y23+Y25-4*Y24)/p_h^2))</f>
        <v/>
      </c>
      <c r="Z24" s="15">
        <f>IF(p_reset=1,0,Z24+p_dt*(-u_vel!Z24*((1-p_theta)*(AA24-Y24)/(2*p_h)+p_theta*IF(u_vel!Z24&gt;0,(Z24-Y24),(AA24-Z24))/p_h)-v_vel!Z24*((1-p_theta)*(Z23-Z25)/(2*p_h)+p_theta*IF(v_vel!Z24&gt;0,(Z24-Z25),(Z23-Z24))/p_h)+p_nu*(AA24+Y24+Z23+Z25-4*Z24)/p_h^2))</f>
        <v/>
      </c>
      <c r="AA24" s="15">
        <f>IF(p_reset=1,0,AA24+p_dt*(-u_vel!AA24*((1-p_theta)*(AB24-Z24)/(2*p_h)+p_theta*IF(u_vel!AA24&gt;0,(AA24-Z24),(AB24-AA24))/p_h)-v_vel!AA24*((1-p_theta)*(AA23-AA25)/(2*p_h)+p_theta*IF(v_vel!AA24&gt;0,(AA24-AA25),(AA23-AA24))/p_h)+p_nu*(AB24+Z24+AA23+AA25-4*AA24)/p_h^2))</f>
        <v/>
      </c>
      <c r="AB24" s="15">
        <f>IF(p_reset=1,0,AB24+p_dt*(-u_vel!AB24*((1-p_theta)*(AC24-AA24)/(2*p_h)+p_theta*IF(u_vel!AB24&gt;0,(AB24-AA24),(AC24-AB24))/p_h)-v_vel!AB24*((1-p_theta)*(AB23-AB25)/(2*p_h)+p_theta*IF(v_vel!AB24&gt;0,(AB24-AB25),(AB23-AB24))/p_h)+p_nu*(AC24+AA24+AB23+AB25-4*AB24)/p_h^2))</f>
        <v/>
      </c>
      <c r="AC24" s="15">
        <f>IF(p_reset=1,0,AC24+p_dt*(-u_vel!AC24*((1-p_theta)*(AD24-AB24)/(2*p_h)+p_theta*IF(u_vel!AC24&gt;0,(AC24-AB24),(AD24-AC24))/p_h)-v_vel!AC24*((1-p_theta)*(AC23-AC25)/(2*p_h)+p_theta*IF(v_vel!AC24&gt;0,(AC24-AC25),(AC23-AC24))/p_h)+p_nu*(AD24+AB24+AC23+AC25-4*AC24)/p_h^2))</f>
        <v/>
      </c>
      <c r="AD24" s="15">
        <f>IF(p_reset=1,0,AD24+p_dt*(-u_vel!AD24*((1-p_theta)*(AE24-AC24)/(2*p_h)+p_theta*IF(u_vel!AD24&gt;0,(AD24-AC24),(AE24-AD24))/p_h)-v_vel!AD24*((1-p_theta)*(AD23-AD25)/(2*p_h)+p_theta*IF(v_vel!AD24&gt;0,(AD24-AD25),(AD23-AD24))/p_h)+p_nu*(AE24+AC24+AD23+AD25-4*AD24)/p_h^2))</f>
        <v/>
      </c>
      <c r="AE24" s="15">
        <f>IF(p_reset=1,0,AE24+p_dt*(-u_vel!AE24*((1-p_theta)*(AF24-AD24)/(2*p_h)+p_theta*IF(u_vel!AE24&gt;0,(AE24-AD24),(AF24-AE24))/p_h)-v_vel!AE24*((1-p_theta)*(AE23-AE25)/(2*p_h)+p_theta*IF(v_vel!AE24&gt;0,(AE24-AE25),(AE23-AE24))/p_h)+p_nu*(AF24+AD24+AE23+AE25-4*AE24)/p_h^2))</f>
        <v/>
      </c>
      <c r="AF24" s="15">
        <f>IF(p_reset=1,0,AF24+p_dt*(-u_vel!AF24*((1-p_theta)*(AG24-AE24)/(2*p_h)+p_theta*IF(u_vel!AF24&gt;0,(AF24-AE24),(AG24-AF24))/p_h)-v_vel!AF24*((1-p_theta)*(AF23-AF25)/(2*p_h)+p_theta*IF(v_vel!AF24&gt;0,(AF24-AF25),(AF23-AF24))/p_h)+p_nu*(AG24+AE24+AF23+AF25-4*AF24)/p_h^2))</f>
        <v/>
      </c>
      <c r="AG24" s="15">
        <f>IF(p_reset=1,0,AG24+p_dt*(-u_vel!AG24*((1-p_theta)*(AH24-AF24)/(2*p_h)+p_theta*IF(u_vel!AG24&gt;0,(AG24-AF24),(AH24-AG24))/p_h)-v_vel!AG24*((1-p_theta)*(AG23-AG25)/(2*p_h)+p_theta*IF(v_vel!AG24&gt;0,(AG24-AG25),(AG23-AG24))/p_h)+p_nu*(AH24+AF24+AG23+AG25-4*AG24)/p_h^2))</f>
        <v/>
      </c>
      <c r="AH24" s="15">
        <f>-2*Psi!AG24/p_h^2</f>
        <v/>
      </c>
    </row>
    <row r="25">
      <c r="A25" s="7">
        <f>A24-p_h</f>
        <v/>
      </c>
      <c r="B25" s="15">
        <f>-2*Psi!C25/p_h^2</f>
        <v/>
      </c>
      <c r="C25" s="15">
        <f>IF(p_reset=1,0,C25+p_dt*(-u_vel!C25*((1-p_theta)*(D25-B25)/(2*p_h)+p_theta*IF(u_vel!C25&gt;0,(C25-B25),(D25-C25))/p_h)-v_vel!C25*((1-p_theta)*(C24-C26)/(2*p_h)+p_theta*IF(v_vel!C25&gt;0,(C25-C26),(C24-C25))/p_h)+p_nu*(D25+B25+C24+C26-4*C25)/p_h^2))</f>
        <v/>
      </c>
      <c r="D25" s="15">
        <f>IF(p_reset=1,0,D25+p_dt*(-u_vel!D25*((1-p_theta)*(E25-C25)/(2*p_h)+p_theta*IF(u_vel!D25&gt;0,(D25-C25),(E25-D25))/p_h)-v_vel!D25*((1-p_theta)*(D24-D26)/(2*p_h)+p_theta*IF(v_vel!D25&gt;0,(D25-D26),(D24-D25))/p_h)+p_nu*(E25+C25+D24+D26-4*D25)/p_h^2))</f>
        <v/>
      </c>
      <c r="E25" s="15">
        <f>IF(p_reset=1,0,E25+p_dt*(-u_vel!E25*((1-p_theta)*(F25-D25)/(2*p_h)+p_theta*IF(u_vel!E25&gt;0,(E25-D25),(F25-E25))/p_h)-v_vel!E25*((1-p_theta)*(E24-E26)/(2*p_h)+p_theta*IF(v_vel!E25&gt;0,(E25-E26),(E24-E25))/p_h)+p_nu*(F25+D25+E24+E26-4*E25)/p_h^2))</f>
        <v/>
      </c>
      <c r="F25" s="15">
        <f>IF(p_reset=1,0,F25+p_dt*(-u_vel!F25*((1-p_theta)*(G25-E25)/(2*p_h)+p_theta*IF(u_vel!F25&gt;0,(F25-E25),(G25-F25))/p_h)-v_vel!F25*((1-p_theta)*(F24-F26)/(2*p_h)+p_theta*IF(v_vel!F25&gt;0,(F25-F26),(F24-F25))/p_h)+p_nu*(G25+E25+F24+F26-4*F25)/p_h^2))</f>
        <v/>
      </c>
      <c r="G25" s="15">
        <f>IF(p_reset=1,0,G25+p_dt*(-u_vel!G25*((1-p_theta)*(H25-F25)/(2*p_h)+p_theta*IF(u_vel!G25&gt;0,(G25-F25),(H25-G25))/p_h)-v_vel!G25*((1-p_theta)*(G24-G26)/(2*p_h)+p_theta*IF(v_vel!G25&gt;0,(G25-G26),(G24-G25))/p_h)+p_nu*(H25+F25+G24+G26-4*G25)/p_h^2))</f>
        <v/>
      </c>
      <c r="H25" s="15">
        <f>IF(p_reset=1,0,H25+p_dt*(-u_vel!H25*((1-p_theta)*(I25-G25)/(2*p_h)+p_theta*IF(u_vel!H25&gt;0,(H25-G25),(I25-H25))/p_h)-v_vel!H25*((1-p_theta)*(H24-H26)/(2*p_h)+p_theta*IF(v_vel!H25&gt;0,(H25-H26),(H24-H25))/p_h)+p_nu*(I25+G25+H24+H26-4*H25)/p_h^2))</f>
        <v/>
      </c>
      <c r="I25" s="15">
        <f>IF(p_reset=1,0,I25+p_dt*(-u_vel!I25*((1-p_theta)*(J25-H25)/(2*p_h)+p_theta*IF(u_vel!I25&gt;0,(I25-H25),(J25-I25))/p_h)-v_vel!I25*((1-p_theta)*(I24-I26)/(2*p_h)+p_theta*IF(v_vel!I25&gt;0,(I25-I26),(I24-I25))/p_h)+p_nu*(J25+H25+I24+I26-4*I25)/p_h^2))</f>
        <v/>
      </c>
      <c r="J25" s="15">
        <f>IF(p_reset=1,0,J25+p_dt*(-u_vel!J25*((1-p_theta)*(K25-I25)/(2*p_h)+p_theta*IF(u_vel!J25&gt;0,(J25-I25),(K25-J25))/p_h)-v_vel!J25*((1-p_theta)*(J24-J26)/(2*p_h)+p_theta*IF(v_vel!J25&gt;0,(J25-J26),(J24-J25))/p_h)+p_nu*(K25+I25+J24+J26-4*J25)/p_h^2))</f>
        <v/>
      </c>
      <c r="K25" s="15">
        <f>IF(p_reset=1,0,K25+p_dt*(-u_vel!K25*((1-p_theta)*(L25-J25)/(2*p_h)+p_theta*IF(u_vel!K25&gt;0,(K25-J25),(L25-K25))/p_h)-v_vel!K25*((1-p_theta)*(K24-K26)/(2*p_h)+p_theta*IF(v_vel!K25&gt;0,(K25-K26),(K24-K25))/p_h)+p_nu*(L25+J25+K24+K26-4*K25)/p_h^2))</f>
        <v/>
      </c>
      <c r="L25" s="15">
        <f>IF(p_reset=1,0,L25+p_dt*(-u_vel!L25*((1-p_theta)*(M25-K25)/(2*p_h)+p_theta*IF(u_vel!L25&gt;0,(L25-K25),(M25-L25))/p_h)-v_vel!L25*((1-p_theta)*(L24-L26)/(2*p_h)+p_theta*IF(v_vel!L25&gt;0,(L25-L26),(L24-L25))/p_h)+p_nu*(M25+K25+L24+L26-4*L25)/p_h^2))</f>
        <v/>
      </c>
      <c r="M25" s="15">
        <f>IF(p_reset=1,0,M25+p_dt*(-u_vel!M25*((1-p_theta)*(N25-L25)/(2*p_h)+p_theta*IF(u_vel!M25&gt;0,(M25-L25),(N25-M25))/p_h)-v_vel!M25*((1-p_theta)*(M24-M26)/(2*p_h)+p_theta*IF(v_vel!M25&gt;0,(M25-M26),(M24-M25))/p_h)+p_nu*(N25+L25+M24+M26-4*M25)/p_h^2))</f>
        <v/>
      </c>
      <c r="N25" s="15">
        <f>IF(p_reset=1,0,N25+p_dt*(-u_vel!N25*((1-p_theta)*(O25-M25)/(2*p_h)+p_theta*IF(u_vel!N25&gt;0,(N25-M25),(O25-N25))/p_h)-v_vel!N25*((1-p_theta)*(N24-N26)/(2*p_h)+p_theta*IF(v_vel!N25&gt;0,(N25-N26),(N24-N25))/p_h)+p_nu*(O25+M25+N24+N26-4*N25)/p_h^2))</f>
        <v/>
      </c>
      <c r="O25" s="15">
        <f>IF(p_reset=1,0,O25+p_dt*(-u_vel!O25*((1-p_theta)*(P25-N25)/(2*p_h)+p_theta*IF(u_vel!O25&gt;0,(O25-N25),(P25-O25))/p_h)-v_vel!O25*((1-p_theta)*(O24-O26)/(2*p_h)+p_theta*IF(v_vel!O25&gt;0,(O25-O26),(O24-O25))/p_h)+p_nu*(P25+N25+O24+O26-4*O25)/p_h^2))</f>
        <v/>
      </c>
      <c r="P25" s="15">
        <f>IF(p_reset=1,0,P25+p_dt*(-u_vel!P25*((1-p_theta)*(Q25-O25)/(2*p_h)+p_theta*IF(u_vel!P25&gt;0,(P25-O25),(Q25-P25))/p_h)-v_vel!P25*((1-p_theta)*(P24-P26)/(2*p_h)+p_theta*IF(v_vel!P25&gt;0,(P25-P26),(P24-P25))/p_h)+p_nu*(Q25+O25+P24+P26-4*P25)/p_h^2))</f>
        <v/>
      </c>
      <c r="Q25" s="15">
        <f>IF(p_reset=1,0,Q25+p_dt*(-u_vel!Q25*((1-p_theta)*(R25-P25)/(2*p_h)+p_theta*IF(u_vel!Q25&gt;0,(Q25-P25),(R25-Q25))/p_h)-v_vel!Q25*((1-p_theta)*(Q24-Q26)/(2*p_h)+p_theta*IF(v_vel!Q25&gt;0,(Q25-Q26),(Q24-Q25))/p_h)+p_nu*(R25+P25+Q24+Q26-4*Q25)/p_h^2))</f>
        <v/>
      </c>
      <c r="R25" s="15">
        <f>IF(p_reset=1,0,R25+p_dt*(-u_vel!R25*((1-p_theta)*(S25-Q25)/(2*p_h)+p_theta*IF(u_vel!R25&gt;0,(R25-Q25),(S25-R25))/p_h)-v_vel!R25*((1-p_theta)*(R24-R26)/(2*p_h)+p_theta*IF(v_vel!R25&gt;0,(R25-R26),(R24-R25))/p_h)+p_nu*(S25+Q25+R24+R26-4*R25)/p_h^2))</f>
        <v/>
      </c>
      <c r="S25" s="15">
        <f>IF(p_reset=1,0,S25+p_dt*(-u_vel!S25*((1-p_theta)*(T25-R25)/(2*p_h)+p_theta*IF(u_vel!S25&gt;0,(S25-R25),(T25-S25))/p_h)-v_vel!S25*((1-p_theta)*(S24-S26)/(2*p_h)+p_theta*IF(v_vel!S25&gt;0,(S25-S26),(S24-S25))/p_h)+p_nu*(T25+R25+S24+S26-4*S25)/p_h^2))</f>
        <v/>
      </c>
      <c r="T25" s="15">
        <f>IF(p_reset=1,0,T25+p_dt*(-u_vel!T25*((1-p_theta)*(U25-S25)/(2*p_h)+p_theta*IF(u_vel!T25&gt;0,(T25-S25),(U25-T25))/p_h)-v_vel!T25*((1-p_theta)*(T24-T26)/(2*p_h)+p_theta*IF(v_vel!T25&gt;0,(T25-T26),(T24-T25))/p_h)+p_nu*(U25+S25+T24+T26-4*T25)/p_h^2))</f>
        <v/>
      </c>
      <c r="U25" s="15">
        <f>IF(p_reset=1,0,U25+p_dt*(-u_vel!U25*((1-p_theta)*(V25-T25)/(2*p_h)+p_theta*IF(u_vel!U25&gt;0,(U25-T25),(V25-U25))/p_h)-v_vel!U25*((1-p_theta)*(U24-U26)/(2*p_h)+p_theta*IF(v_vel!U25&gt;0,(U25-U26),(U24-U25))/p_h)+p_nu*(V25+T25+U24+U26-4*U25)/p_h^2))</f>
        <v/>
      </c>
      <c r="V25" s="15">
        <f>IF(p_reset=1,0,V25+p_dt*(-u_vel!V25*((1-p_theta)*(W25-U25)/(2*p_h)+p_theta*IF(u_vel!V25&gt;0,(V25-U25),(W25-V25))/p_h)-v_vel!V25*((1-p_theta)*(V24-V26)/(2*p_h)+p_theta*IF(v_vel!V25&gt;0,(V25-V26),(V24-V25))/p_h)+p_nu*(W25+U25+V24+V26-4*V25)/p_h^2))</f>
        <v/>
      </c>
      <c r="W25" s="15">
        <f>IF(p_reset=1,0,W25+p_dt*(-u_vel!W25*((1-p_theta)*(X25-V25)/(2*p_h)+p_theta*IF(u_vel!W25&gt;0,(W25-V25),(X25-W25))/p_h)-v_vel!W25*((1-p_theta)*(W24-W26)/(2*p_h)+p_theta*IF(v_vel!W25&gt;0,(W25-W26),(W24-W25))/p_h)+p_nu*(X25+V25+W24+W26-4*W25)/p_h^2))</f>
        <v/>
      </c>
      <c r="X25" s="15">
        <f>IF(p_reset=1,0,X25+p_dt*(-u_vel!X25*((1-p_theta)*(Y25-W25)/(2*p_h)+p_theta*IF(u_vel!X25&gt;0,(X25-W25),(Y25-X25))/p_h)-v_vel!X25*((1-p_theta)*(X24-X26)/(2*p_h)+p_theta*IF(v_vel!X25&gt;0,(X25-X26),(X24-X25))/p_h)+p_nu*(Y25+W25+X24+X26-4*X25)/p_h^2))</f>
        <v/>
      </c>
      <c r="Y25" s="15">
        <f>IF(p_reset=1,0,Y25+p_dt*(-u_vel!Y25*((1-p_theta)*(Z25-X25)/(2*p_h)+p_theta*IF(u_vel!Y25&gt;0,(Y25-X25),(Z25-Y25))/p_h)-v_vel!Y25*((1-p_theta)*(Y24-Y26)/(2*p_h)+p_theta*IF(v_vel!Y25&gt;0,(Y25-Y26),(Y24-Y25))/p_h)+p_nu*(Z25+X25+Y24+Y26-4*Y25)/p_h^2))</f>
        <v/>
      </c>
      <c r="Z25" s="15">
        <f>IF(p_reset=1,0,Z25+p_dt*(-u_vel!Z25*((1-p_theta)*(AA25-Y25)/(2*p_h)+p_theta*IF(u_vel!Z25&gt;0,(Z25-Y25),(AA25-Z25))/p_h)-v_vel!Z25*((1-p_theta)*(Z24-Z26)/(2*p_h)+p_theta*IF(v_vel!Z25&gt;0,(Z25-Z26),(Z24-Z25))/p_h)+p_nu*(AA25+Y25+Z24+Z26-4*Z25)/p_h^2))</f>
        <v/>
      </c>
      <c r="AA25" s="15">
        <f>IF(p_reset=1,0,AA25+p_dt*(-u_vel!AA25*((1-p_theta)*(AB25-Z25)/(2*p_h)+p_theta*IF(u_vel!AA25&gt;0,(AA25-Z25),(AB25-AA25))/p_h)-v_vel!AA25*((1-p_theta)*(AA24-AA26)/(2*p_h)+p_theta*IF(v_vel!AA25&gt;0,(AA25-AA26),(AA24-AA25))/p_h)+p_nu*(AB25+Z25+AA24+AA26-4*AA25)/p_h^2))</f>
        <v/>
      </c>
      <c r="AB25" s="15">
        <f>IF(p_reset=1,0,AB25+p_dt*(-u_vel!AB25*((1-p_theta)*(AC25-AA25)/(2*p_h)+p_theta*IF(u_vel!AB25&gt;0,(AB25-AA25),(AC25-AB25))/p_h)-v_vel!AB25*((1-p_theta)*(AB24-AB26)/(2*p_h)+p_theta*IF(v_vel!AB25&gt;0,(AB25-AB26),(AB24-AB25))/p_h)+p_nu*(AC25+AA25+AB24+AB26-4*AB25)/p_h^2))</f>
        <v/>
      </c>
      <c r="AC25" s="15">
        <f>IF(p_reset=1,0,AC25+p_dt*(-u_vel!AC25*((1-p_theta)*(AD25-AB25)/(2*p_h)+p_theta*IF(u_vel!AC25&gt;0,(AC25-AB25),(AD25-AC25))/p_h)-v_vel!AC25*((1-p_theta)*(AC24-AC26)/(2*p_h)+p_theta*IF(v_vel!AC25&gt;0,(AC25-AC26),(AC24-AC25))/p_h)+p_nu*(AD25+AB25+AC24+AC26-4*AC25)/p_h^2))</f>
        <v/>
      </c>
      <c r="AD25" s="15">
        <f>IF(p_reset=1,0,AD25+p_dt*(-u_vel!AD25*((1-p_theta)*(AE25-AC25)/(2*p_h)+p_theta*IF(u_vel!AD25&gt;0,(AD25-AC25),(AE25-AD25))/p_h)-v_vel!AD25*((1-p_theta)*(AD24-AD26)/(2*p_h)+p_theta*IF(v_vel!AD25&gt;0,(AD25-AD26),(AD24-AD25))/p_h)+p_nu*(AE25+AC25+AD24+AD26-4*AD25)/p_h^2))</f>
        <v/>
      </c>
      <c r="AE25" s="15">
        <f>IF(p_reset=1,0,AE25+p_dt*(-u_vel!AE25*((1-p_theta)*(AF25-AD25)/(2*p_h)+p_theta*IF(u_vel!AE25&gt;0,(AE25-AD25),(AF25-AE25))/p_h)-v_vel!AE25*((1-p_theta)*(AE24-AE26)/(2*p_h)+p_theta*IF(v_vel!AE25&gt;0,(AE25-AE26),(AE24-AE25))/p_h)+p_nu*(AF25+AD25+AE24+AE26-4*AE25)/p_h^2))</f>
        <v/>
      </c>
      <c r="AF25" s="15">
        <f>IF(p_reset=1,0,AF25+p_dt*(-u_vel!AF25*((1-p_theta)*(AG25-AE25)/(2*p_h)+p_theta*IF(u_vel!AF25&gt;0,(AF25-AE25),(AG25-AF25))/p_h)-v_vel!AF25*((1-p_theta)*(AF24-AF26)/(2*p_h)+p_theta*IF(v_vel!AF25&gt;0,(AF25-AF26),(AF24-AF25))/p_h)+p_nu*(AG25+AE25+AF24+AF26-4*AF25)/p_h^2))</f>
        <v/>
      </c>
      <c r="AG25" s="15">
        <f>IF(p_reset=1,0,AG25+p_dt*(-u_vel!AG25*((1-p_theta)*(AH25-AF25)/(2*p_h)+p_theta*IF(u_vel!AG25&gt;0,(AG25-AF25),(AH25-AG25))/p_h)-v_vel!AG25*((1-p_theta)*(AG24-AG26)/(2*p_h)+p_theta*IF(v_vel!AG25&gt;0,(AG25-AG26),(AG24-AG25))/p_h)+p_nu*(AH25+AF25+AG24+AG26-4*AG25)/p_h^2))</f>
        <v/>
      </c>
      <c r="AH25" s="15">
        <f>-2*Psi!AG25/p_h^2</f>
        <v/>
      </c>
    </row>
    <row r="26">
      <c r="A26" s="7">
        <f>A25-p_h</f>
        <v/>
      </c>
      <c r="B26" s="15">
        <f>-2*Psi!C26/p_h^2</f>
        <v/>
      </c>
      <c r="C26" s="15">
        <f>IF(p_reset=1,0,C26+p_dt*(-u_vel!C26*((1-p_theta)*(D26-B26)/(2*p_h)+p_theta*IF(u_vel!C26&gt;0,(C26-B26),(D26-C26))/p_h)-v_vel!C26*((1-p_theta)*(C25-C27)/(2*p_h)+p_theta*IF(v_vel!C26&gt;0,(C26-C27),(C25-C26))/p_h)+p_nu*(D26+B26+C25+C27-4*C26)/p_h^2))</f>
        <v/>
      </c>
      <c r="D26" s="15">
        <f>IF(p_reset=1,0,D26+p_dt*(-u_vel!D26*((1-p_theta)*(E26-C26)/(2*p_h)+p_theta*IF(u_vel!D26&gt;0,(D26-C26),(E26-D26))/p_h)-v_vel!D26*((1-p_theta)*(D25-D27)/(2*p_h)+p_theta*IF(v_vel!D26&gt;0,(D26-D27),(D25-D26))/p_h)+p_nu*(E26+C26+D25+D27-4*D26)/p_h^2))</f>
        <v/>
      </c>
      <c r="E26" s="15">
        <f>IF(p_reset=1,0,E26+p_dt*(-u_vel!E26*((1-p_theta)*(F26-D26)/(2*p_h)+p_theta*IF(u_vel!E26&gt;0,(E26-D26),(F26-E26))/p_h)-v_vel!E26*((1-p_theta)*(E25-E27)/(2*p_h)+p_theta*IF(v_vel!E26&gt;0,(E26-E27),(E25-E26))/p_h)+p_nu*(F26+D26+E25+E27-4*E26)/p_h^2))</f>
        <v/>
      </c>
      <c r="F26" s="15">
        <f>IF(p_reset=1,0,F26+p_dt*(-u_vel!F26*((1-p_theta)*(G26-E26)/(2*p_h)+p_theta*IF(u_vel!F26&gt;0,(F26-E26),(G26-F26))/p_h)-v_vel!F26*((1-p_theta)*(F25-F27)/(2*p_h)+p_theta*IF(v_vel!F26&gt;0,(F26-F27),(F25-F26))/p_h)+p_nu*(G26+E26+F25+F27-4*F26)/p_h^2))</f>
        <v/>
      </c>
      <c r="G26" s="15">
        <f>IF(p_reset=1,0,G26+p_dt*(-u_vel!G26*((1-p_theta)*(H26-F26)/(2*p_h)+p_theta*IF(u_vel!G26&gt;0,(G26-F26),(H26-G26))/p_h)-v_vel!G26*((1-p_theta)*(G25-G27)/(2*p_h)+p_theta*IF(v_vel!G26&gt;0,(G26-G27),(G25-G26))/p_h)+p_nu*(H26+F26+G25+G27-4*G26)/p_h^2))</f>
        <v/>
      </c>
      <c r="H26" s="15">
        <f>IF(p_reset=1,0,H26+p_dt*(-u_vel!H26*((1-p_theta)*(I26-G26)/(2*p_h)+p_theta*IF(u_vel!H26&gt;0,(H26-G26),(I26-H26))/p_h)-v_vel!H26*((1-p_theta)*(H25-H27)/(2*p_h)+p_theta*IF(v_vel!H26&gt;0,(H26-H27),(H25-H26))/p_h)+p_nu*(I26+G26+H25+H27-4*H26)/p_h^2))</f>
        <v/>
      </c>
      <c r="I26" s="15">
        <f>IF(p_reset=1,0,I26+p_dt*(-u_vel!I26*((1-p_theta)*(J26-H26)/(2*p_h)+p_theta*IF(u_vel!I26&gt;0,(I26-H26),(J26-I26))/p_h)-v_vel!I26*((1-p_theta)*(I25-I27)/(2*p_h)+p_theta*IF(v_vel!I26&gt;0,(I26-I27),(I25-I26))/p_h)+p_nu*(J26+H26+I25+I27-4*I26)/p_h^2))</f>
        <v/>
      </c>
      <c r="J26" s="15">
        <f>IF(p_reset=1,0,J26+p_dt*(-u_vel!J26*((1-p_theta)*(K26-I26)/(2*p_h)+p_theta*IF(u_vel!J26&gt;0,(J26-I26),(K26-J26))/p_h)-v_vel!J26*((1-p_theta)*(J25-J27)/(2*p_h)+p_theta*IF(v_vel!J26&gt;0,(J26-J27),(J25-J26))/p_h)+p_nu*(K26+I26+J25+J27-4*J26)/p_h^2))</f>
        <v/>
      </c>
      <c r="K26" s="15">
        <f>IF(p_reset=1,0,K26+p_dt*(-u_vel!K26*((1-p_theta)*(L26-J26)/(2*p_h)+p_theta*IF(u_vel!K26&gt;0,(K26-J26),(L26-K26))/p_h)-v_vel!K26*((1-p_theta)*(K25-K27)/(2*p_h)+p_theta*IF(v_vel!K26&gt;0,(K26-K27),(K25-K26))/p_h)+p_nu*(L26+J26+K25+K27-4*K26)/p_h^2))</f>
        <v/>
      </c>
      <c r="L26" s="15">
        <f>IF(p_reset=1,0,L26+p_dt*(-u_vel!L26*((1-p_theta)*(M26-K26)/(2*p_h)+p_theta*IF(u_vel!L26&gt;0,(L26-K26),(M26-L26))/p_h)-v_vel!L26*((1-p_theta)*(L25-L27)/(2*p_h)+p_theta*IF(v_vel!L26&gt;0,(L26-L27),(L25-L26))/p_h)+p_nu*(M26+K26+L25+L27-4*L26)/p_h^2))</f>
        <v/>
      </c>
      <c r="M26" s="15">
        <f>IF(p_reset=1,0,M26+p_dt*(-u_vel!M26*((1-p_theta)*(N26-L26)/(2*p_h)+p_theta*IF(u_vel!M26&gt;0,(M26-L26),(N26-M26))/p_h)-v_vel!M26*((1-p_theta)*(M25-M27)/(2*p_h)+p_theta*IF(v_vel!M26&gt;0,(M26-M27),(M25-M26))/p_h)+p_nu*(N26+L26+M25+M27-4*M26)/p_h^2))</f>
        <v/>
      </c>
      <c r="N26" s="15">
        <f>IF(p_reset=1,0,N26+p_dt*(-u_vel!N26*((1-p_theta)*(O26-M26)/(2*p_h)+p_theta*IF(u_vel!N26&gt;0,(N26-M26),(O26-N26))/p_h)-v_vel!N26*((1-p_theta)*(N25-N27)/(2*p_h)+p_theta*IF(v_vel!N26&gt;0,(N26-N27),(N25-N26))/p_h)+p_nu*(O26+M26+N25+N27-4*N26)/p_h^2))</f>
        <v/>
      </c>
      <c r="O26" s="15">
        <f>IF(p_reset=1,0,O26+p_dt*(-u_vel!O26*((1-p_theta)*(P26-N26)/(2*p_h)+p_theta*IF(u_vel!O26&gt;0,(O26-N26),(P26-O26))/p_h)-v_vel!O26*((1-p_theta)*(O25-O27)/(2*p_h)+p_theta*IF(v_vel!O26&gt;0,(O26-O27),(O25-O26))/p_h)+p_nu*(P26+N26+O25+O27-4*O26)/p_h^2))</f>
        <v/>
      </c>
      <c r="P26" s="15">
        <f>IF(p_reset=1,0,P26+p_dt*(-u_vel!P26*((1-p_theta)*(Q26-O26)/(2*p_h)+p_theta*IF(u_vel!P26&gt;0,(P26-O26),(Q26-P26))/p_h)-v_vel!P26*((1-p_theta)*(P25-P27)/(2*p_h)+p_theta*IF(v_vel!P26&gt;0,(P26-P27),(P25-P26))/p_h)+p_nu*(Q26+O26+P25+P27-4*P26)/p_h^2))</f>
        <v/>
      </c>
      <c r="Q26" s="15">
        <f>IF(p_reset=1,0,Q26+p_dt*(-u_vel!Q26*((1-p_theta)*(R26-P26)/(2*p_h)+p_theta*IF(u_vel!Q26&gt;0,(Q26-P26),(R26-Q26))/p_h)-v_vel!Q26*((1-p_theta)*(Q25-Q27)/(2*p_h)+p_theta*IF(v_vel!Q26&gt;0,(Q26-Q27),(Q25-Q26))/p_h)+p_nu*(R26+P26+Q25+Q27-4*Q26)/p_h^2))</f>
        <v/>
      </c>
      <c r="R26" s="15">
        <f>IF(p_reset=1,0,R26+p_dt*(-u_vel!R26*((1-p_theta)*(S26-Q26)/(2*p_h)+p_theta*IF(u_vel!R26&gt;0,(R26-Q26),(S26-R26))/p_h)-v_vel!R26*((1-p_theta)*(R25-R27)/(2*p_h)+p_theta*IF(v_vel!R26&gt;0,(R26-R27),(R25-R26))/p_h)+p_nu*(S26+Q26+R25+R27-4*R26)/p_h^2))</f>
        <v/>
      </c>
      <c r="S26" s="15">
        <f>IF(p_reset=1,0,S26+p_dt*(-u_vel!S26*((1-p_theta)*(T26-R26)/(2*p_h)+p_theta*IF(u_vel!S26&gt;0,(S26-R26),(T26-S26))/p_h)-v_vel!S26*((1-p_theta)*(S25-S27)/(2*p_h)+p_theta*IF(v_vel!S26&gt;0,(S26-S27),(S25-S26))/p_h)+p_nu*(T26+R26+S25+S27-4*S26)/p_h^2))</f>
        <v/>
      </c>
      <c r="T26" s="15">
        <f>IF(p_reset=1,0,T26+p_dt*(-u_vel!T26*((1-p_theta)*(U26-S26)/(2*p_h)+p_theta*IF(u_vel!T26&gt;0,(T26-S26),(U26-T26))/p_h)-v_vel!T26*((1-p_theta)*(T25-T27)/(2*p_h)+p_theta*IF(v_vel!T26&gt;0,(T26-T27),(T25-T26))/p_h)+p_nu*(U26+S26+T25+T27-4*T26)/p_h^2))</f>
        <v/>
      </c>
      <c r="U26" s="15">
        <f>IF(p_reset=1,0,U26+p_dt*(-u_vel!U26*((1-p_theta)*(V26-T26)/(2*p_h)+p_theta*IF(u_vel!U26&gt;0,(U26-T26),(V26-U26))/p_h)-v_vel!U26*((1-p_theta)*(U25-U27)/(2*p_h)+p_theta*IF(v_vel!U26&gt;0,(U26-U27),(U25-U26))/p_h)+p_nu*(V26+T26+U25+U27-4*U26)/p_h^2))</f>
        <v/>
      </c>
      <c r="V26" s="15">
        <f>IF(p_reset=1,0,V26+p_dt*(-u_vel!V26*((1-p_theta)*(W26-U26)/(2*p_h)+p_theta*IF(u_vel!V26&gt;0,(V26-U26),(W26-V26))/p_h)-v_vel!V26*((1-p_theta)*(V25-V27)/(2*p_h)+p_theta*IF(v_vel!V26&gt;0,(V26-V27),(V25-V26))/p_h)+p_nu*(W26+U26+V25+V27-4*V26)/p_h^2))</f>
        <v/>
      </c>
      <c r="W26" s="15">
        <f>IF(p_reset=1,0,W26+p_dt*(-u_vel!W26*((1-p_theta)*(X26-V26)/(2*p_h)+p_theta*IF(u_vel!W26&gt;0,(W26-V26),(X26-W26))/p_h)-v_vel!W26*((1-p_theta)*(W25-W27)/(2*p_h)+p_theta*IF(v_vel!W26&gt;0,(W26-W27),(W25-W26))/p_h)+p_nu*(X26+V26+W25+W27-4*W26)/p_h^2))</f>
        <v/>
      </c>
      <c r="X26" s="15">
        <f>IF(p_reset=1,0,X26+p_dt*(-u_vel!X26*((1-p_theta)*(Y26-W26)/(2*p_h)+p_theta*IF(u_vel!X26&gt;0,(X26-W26),(Y26-X26))/p_h)-v_vel!X26*((1-p_theta)*(X25-X27)/(2*p_h)+p_theta*IF(v_vel!X26&gt;0,(X26-X27),(X25-X26))/p_h)+p_nu*(Y26+W26+X25+X27-4*X26)/p_h^2))</f>
        <v/>
      </c>
      <c r="Y26" s="15">
        <f>IF(p_reset=1,0,Y26+p_dt*(-u_vel!Y26*((1-p_theta)*(Z26-X26)/(2*p_h)+p_theta*IF(u_vel!Y26&gt;0,(Y26-X26),(Z26-Y26))/p_h)-v_vel!Y26*((1-p_theta)*(Y25-Y27)/(2*p_h)+p_theta*IF(v_vel!Y26&gt;0,(Y26-Y27),(Y25-Y26))/p_h)+p_nu*(Z26+X26+Y25+Y27-4*Y26)/p_h^2))</f>
        <v/>
      </c>
      <c r="Z26" s="15">
        <f>IF(p_reset=1,0,Z26+p_dt*(-u_vel!Z26*((1-p_theta)*(AA26-Y26)/(2*p_h)+p_theta*IF(u_vel!Z26&gt;0,(Z26-Y26),(AA26-Z26))/p_h)-v_vel!Z26*((1-p_theta)*(Z25-Z27)/(2*p_h)+p_theta*IF(v_vel!Z26&gt;0,(Z26-Z27),(Z25-Z26))/p_h)+p_nu*(AA26+Y26+Z25+Z27-4*Z26)/p_h^2))</f>
        <v/>
      </c>
      <c r="AA26" s="15">
        <f>IF(p_reset=1,0,AA26+p_dt*(-u_vel!AA26*((1-p_theta)*(AB26-Z26)/(2*p_h)+p_theta*IF(u_vel!AA26&gt;0,(AA26-Z26),(AB26-AA26))/p_h)-v_vel!AA26*((1-p_theta)*(AA25-AA27)/(2*p_h)+p_theta*IF(v_vel!AA26&gt;0,(AA26-AA27),(AA25-AA26))/p_h)+p_nu*(AB26+Z26+AA25+AA27-4*AA26)/p_h^2))</f>
        <v/>
      </c>
      <c r="AB26" s="15">
        <f>IF(p_reset=1,0,AB26+p_dt*(-u_vel!AB26*((1-p_theta)*(AC26-AA26)/(2*p_h)+p_theta*IF(u_vel!AB26&gt;0,(AB26-AA26),(AC26-AB26))/p_h)-v_vel!AB26*((1-p_theta)*(AB25-AB27)/(2*p_h)+p_theta*IF(v_vel!AB26&gt;0,(AB26-AB27),(AB25-AB26))/p_h)+p_nu*(AC26+AA26+AB25+AB27-4*AB26)/p_h^2))</f>
        <v/>
      </c>
      <c r="AC26" s="15">
        <f>IF(p_reset=1,0,AC26+p_dt*(-u_vel!AC26*((1-p_theta)*(AD26-AB26)/(2*p_h)+p_theta*IF(u_vel!AC26&gt;0,(AC26-AB26),(AD26-AC26))/p_h)-v_vel!AC26*((1-p_theta)*(AC25-AC27)/(2*p_h)+p_theta*IF(v_vel!AC26&gt;0,(AC26-AC27),(AC25-AC26))/p_h)+p_nu*(AD26+AB26+AC25+AC27-4*AC26)/p_h^2))</f>
        <v/>
      </c>
      <c r="AD26" s="15">
        <f>IF(p_reset=1,0,AD26+p_dt*(-u_vel!AD26*((1-p_theta)*(AE26-AC26)/(2*p_h)+p_theta*IF(u_vel!AD26&gt;0,(AD26-AC26),(AE26-AD26))/p_h)-v_vel!AD26*((1-p_theta)*(AD25-AD27)/(2*p_h)+p_theta*IF(v_vel!AD26&gt;0,(AD26-AD27),(AD25-AD26))/p_h)+p_nu*(AE26+AC26+AD25+AD27-4*AD26)/p_h^2))</f>
        <v/>
      </c>
      <c r="AE26" s="15">
        <f>IF(p_reset=1,0,AE26+p_dt*(-u_vel!AE26*((1-p_theta)*(AF26-AD26)/(2*p_h)+p_theta*IF(u_vel!AE26&gt;0,(AE26-AD26),(AF26-AE26))/p_h)-v_vel!AE26*((1-p_theta)*(AE25-AE27)/(2*p_h)+p_theta*IF(v_vel!AE26&gt;0,(AE26-AE27),(AE25-AE26))/p_h)+p_nu*(AF26+AD26+AE25+AE27-4*AE26)/p_h^2))</f>
        <v/>
      </c>
      <c r="AF26" s="15">
        <f>IF(p_reset=1,0,AF26+p_dt*(-u_vel!AF26*((1-p_theta)*(AG26-AE26)/(2*p_h)+p_theta*IF(u_vel!AF26&gt;0,(AF26-AE26),(AG26-AF26))/p_h)-v_vel!AF26*((1-p_theta)*(AF25-AF27)/(2*p_h)+p_theta*IF(v_vel!AF26&gt;0,(AF26-AF27),(AF25-AF26))/p_h)+p_nu*(AG26+AE26+AF25+AF27-4*AF26)/p_h^2))</f>
        <v/>
      </c>
      <c r="AG26" s="15">
        <f>IF(p_reset=1,0,AG26+p_dt*(-u_vel!AG26*((1-p_theta)*(AH26-AF26)/(2*p_h)+p_theta*IF(u_vel!AG26&gt;0,(AG26-AF26),(AH26-AG26))/p_h)-v_vel!AG26*((1-p_theta)*(AG25-AG27)/(2*p_h)+p_theta*IF(v_vel!AG26&gt;0,(AG26-AG27),(AG25-AG26))/p_h)+p_nu*(AH26+AF26+AG25+AG27-4*AG26)/p_h^2))</f>
        <v/>
      </c>
      <c r="AH26" s="15">
        <f>-2*Psi!AG26/p_h^2</f>
        <v/>
      </c>
    </row>
    <row r="27">
      <c r="A27" s="7">
        <f>A26-p_h</f>
        <v/>
      </c>
      <c r="B27" s="15">
        <f>-2*Psi!C27/p_h^2</f>
        <v/>
      </c>
      <c r="C27" s="15">
        <f>IF(p_reset=1,0,C27+p_dt*(-u_vel!C27*((1-p_theta)*(D27-B27)/(2*p_h)+p_theta*IF(u_vel!C27&gt;0,(C27-B27),(D27-C27))/p_h)-v_vel!C27*((1-p_theta)*(C26-C28)/(2*p_h)+p_theta*IF(v_vel!C27&gt;0,(C27-C28),(C26-C27))/p_h)+p_nu*(D27+B27+C26+C28-4*C27)/p_h^2))</f>
        <v/>
      </c>
      <c r="D27" s="15">
        <f>IF(p_reset=1,0,D27+p_dt*(-u_vel!D27*((1-p_theta)*(E27-C27)/(2*p_h)+p_theta*IF(u_vel!D27&gt;0,(D27-C27),(E27-D27))/p_h)-v_vel!D27*((1-p_theta)*(D26-D28)/(2*p_h)+p_theta*IF(v_vel!D27&gt;0,(D27-D28),(D26-D27))/p_h)+p_nu*(E27+C27+D26+D28-4*D27)/p_h^2))</f>
        <v/>
      </c>
      <c r="E27" s="15">
        <f>IF(p_reset=1,0,E27+p_dt*(-u_vel!E27*((1-p_theta)*(F27-D27)/(2*p_h)+p_theta*IF(u_vel!E27&gt;0,(E27-D27),(F27-E27))/p_h)-v_vel!E27*((1-p_theta)*(E26-E28)/(2*p_h)+p_theta*IF(v_vel!E27&gt;0,(E27-E28),(E26-E27))/p_h)+p_nu*(F27+D27+E26+E28-4*E27)/p_h^2))</f>
        <v/>
      </c>
      <c r="F27" s="15">
        <f>IF(p_reset=1,0,F27+p_dt*(-u_vel!F27*((1-p_theta)*(G27-E27)/(2*p_h)+p_theta*IF(u_vel!F27&gt;0,(F27-E27),(G27-F27))/p_h)-v_vel!F27*((1-p_theta)*(F26-F28)/(2*p_h)+p_theta*IF(v_vel!F27&gt;0,(F27-F28),(F26-F27))/p_h)+p_nu*(G27+E27+F26+F28-4*F27)/p_h^2))</f>
        <v/>
      </c>
      <c r="G27" s="15">
        <f>IF(p_reset=1,0,G27+p_dt*(-u_vel!G27*((1-p_theta)*(H27-F27)/(2*p_h)+p_theta*IF(u_vel!G27&gt;0,(G27-F27),(H27-G27))/p_h)-v_vel!G27*((1-p_theta)*(G26-G28)/(2*p_h)+p_theta*IF(v_vel!G27&gt;0,(G27-G28),(G26-G27))/p_h)+p_nu*(H27+F27+G26+G28-4*G27)/p_h^2))</f>
        <v/>
      </c>
      <c r="H27" s="15">
        <f>IF(p_reset=1,0,H27+p_dt*(-u_vel!H27*((1-p_theta)*(I27-G27)/(2*p_h)+p_theta*IF(u_vel!H27&gt;0,(H27-G27),(I27-H27))/p_h)-v_vel!H27*((1-p_theta)*(H26-H28)/(2*p_h)+p_theta*IF(v_vel!H27&gt;0,(H27-H28),(H26-H27))/p_h)+p_nu*(I27+G27+H26+H28-4*H27)/p_h^2))</f>
        <v/>
      </c>
      <c r="I27" s="15">
        <f>IF(p_reset=1,0,I27+p_dt*(-u_vel!I27*((1-p_theta)*(J27-H27)/(2*p_h)+p_theta*IF(u_vel!I27&gt;0,(I27-H27),(J27-I27))/p_h)-v_vel!I27*((1-p_theta)*(I26-I28)/(2*p_h)+p_theta*IF(v_vel!I27&gt;0,(I27-I28),(I26-I27))/p_h)+p_nu*(J27+H27+I26+I28-4*I27)/p_h^2))</f>
        <v/>
      </c>
      <c r="J27" s="15">
        <f>IF(p_reset=1,0,J27+p_dt*(-u_vel!J27*((1-p_theta)*(K27-I27)/(2*p_h)+p_theta*IF(u_vel!J27&gt;0,(J27-I27),(K27-J27))/p_h)-v_vel!J27*((1-p_theta)*(J26-J28)/(2*p_h)+p_theta*IF(v_vel!J27&gt;0,(J27-J28),(J26-J27))/p_h)+p_nu*(K27+I27+J26+J28-4*J27)/p_h^2))</f>
        <v/>
      </c>
      <c r="K27" s="15">
        <f>IF(p_reset=1,0,K27+p_dt*(-u_vel!K27*((1-p_theta)*(L27-J27)/(2*p_h)+p_theta*IF(u_vel!K27&gt;0,(K27-J27),(L27-K27))/p_h)-v_vel!K27*((1-p_theta)*(K26-K28)/(2*p_h)+p_theta*IF(v_vel!K27&gt;0,(K27-K28),(K26-K27))/p_h)+p_nu*(L27+J27+K26+K28-4*K27)/p_h^2))</f>
        <v/>
      </c>
      <c r="L27" s="15">
        <f>IF(p_reset=1,0,L27+p_dt*(-u_vel!L27*((1-p_theta)*(M27-K27)/(2*p_h)+p_theta*IF(u_vel!L27&gt;0,(L27-K27),(M27-L27))/p_h)-v_vel!L27*((1-p_theta)*(L26-L28)/(2*p_h)+p_theta*IF(v_vel!L27&gt;0,(L27-L28),(L26-L27))/p_h)+p_nu*(M27+K27+L26+L28-4*L27)/p_h^2))</f>
        <v/>
      </c>
      <c r="M27" s="15">
        <f>IF(p_reset=1,0,M27+p_dt*(-u_vel!M27*((1-p_theta)*(N27-L27)/(2*p_h)+p_theta*IF(u_vel!M27&gt;0,(M27-L27),(N27-M27))/p_h)-v_vel!M27*((1-p_theta)*(M26-M28)/(2*p_h)+p_theta*IF(v_vel!M27&gt;0,(M27-M28),(M26-M27))/p_h)+p_nu*(N27+L27+M26+M28-4*M27)/p_h^2))</f>
        <v/>
      </c>
      <c r="N27" s="15">
        <f>IF(p_reset=1,0,N27+p_dt*(-u_vel!N27*((1-p_theta)*(O27-M27)/(2*p_h)+p_theta*IF(u_vel!N27&gt;0,(N27-M27),(O27-N27))/p_h)-v_vel!N27*((1-p_theta)*(N26-N28)/(2*p_h)+p_theta*IF(v_vel!N27&gt;0,(N27-N28),(N26-N27))/p_h)+p_nu*(O27+M27+N26+N28-4*N27)/p_h^2))</f>
        <v/>
      </c>
      <c r="O27" s="15">
        <f>IF(p_reset=1,0,O27+p_dt*(-u_vel!O27*((1-p_theta)*(P27-N27)/(2*p_h)+p_theta*IF(u_vel!O27&gt;0,(O27-N27),(P27-O27))/p_h)-v_vel!O27*((1-p_theta)*(O26-O28)/(2*p_h)+p_theta*IF(v_vel!O27&gt;0,(O27-O28),(O26-O27))/p_h)+p_nu*(P27+N27+O26+O28-4*O27)/p_h^2))</f>
        <v/>
      </c>
      <c r="P27" s="15">
        <f>IF(p_reset=1,0,P27+p_dt*(-u_vel!P27*((1-p_theta)*(Q27-O27)/(2*p_h)+p_theta*IF(u_vel!P27&gt;0,(P27-O27),(Q27-P27))/p_h)-v_vel!P27*((1-p_theta)*(P26-P28)/(2*p_h)+p_theta*IF(v_vel!P27&gt;0,(P27-P28),(P26-P27))/p_h)+p_nu*(Q27+O27+P26+P28-4*P27)/p_h^2))</f>
        <v/>
      </c>
      <c r="Q27" s="15">
        <f>IF(p_reset=1,0,Q27+p_dt*(-u_vel!Q27*((1-p_theta)*(R27-P27)/(2*p_h)+p_theta*IF(u_vel!Q27&gt;0,(Q27-P27),(R27-Q27))/p_h)-v_vel!Q27*((1-p_theta)*(Q26-Q28)/(2*p_h)+p_theta*IF(v_vel!Q27&gt;0,(Q27-Q28),(Q26-Q27))/p_h)+p_nu*(R27+P27+Q26+Q28-4*Q27)/p_h^2))</f>
        <v/>
      </c>
      <c r="R27" s="15">
        <f>IF(p_reset=1,0,R27+p_dt*(-u_vel!R27*((1-p_theta)*(S27-Q27)/(2*p_h)+p_theta*IF(u_vel!R27&gt;0,(R27-Q27),(S27-R27))/p_h)-v_vel!R27*((1-p_theta)*(R26-R28)/(2*p_h)+p_theta*IF(v_vel!R27&gt;0,(R27-R28),(R26-R27))/p_h)+p_nu*(S27+Q27+R26+R28-4*R27)/p_h^2))</f>
        <v/>
      </c>
      <c r="S27" s="15">
        <f>IF(p_reset=1,0,S27+p_dt*(-u_vel!S27*((1-p_theta)*(T27-R27)/(2*p_h)+p_theta*IF(u_vel!S27&gt;0,(S27-R27),(T27-S27))/p_h)-v_vel!S27*((1-p_theta)*(S26-S28)/(2*p_h)+p_theta*IF(v_vel!S27&gt;0,(S27-S28),(S26-S27))/p_h)+p_nu*(T27+R27+S26+S28-4*S27)/p_h^2))</f>
        <v/>
      </c>
      <c r="T27" s="15">
        <f>IF(p_reset=1,0,T27+p_dt*(-u_vel!T27*((1-p_theta)*(U27-S27)/(2*p_h)+p_theta*IF(u_vel!T27&gt;0,(T27-S27),(U27-T27))/p_h)-v_vel!T27*((1-p_theta)*(T26-T28)/(2*p_h)+p_theta*IF(v_vel!T27&gt;0,(T27-T28),(T26-T27))/p_h)+p_nu*(U27+S27+T26+T28-4*T27)/p_h^2))</f>
        <v/>
      </c>
      <c r="U27" s="15">
        <f>IF(p_reset=1,0,U27+p_dt*(-u_vel!U27*((1-p_theta)*(V27-T27)/(2*p_h)+p_theta*IF(u_vel!U27&gt;0,(U27-T27),(V27-U27))/p_h)-v_vel!U27*((1-p_theta)*(U26-U28)/(2*p_h)+p_theta*IF(v_vel!U27&gt;0,(U27-U28),(U26-U27))/p_h)+p_nu*(V27+T27+U26+U28-4*U27)/p_h^2))</f>
        <v/>
      </c>
      <c r="V27" s="15">
        <f>IF(p_reset=1,0,V27+p_dt*(-u_vel!V27*((1-p_theta)*(W27-U27)/(2*p_h)+p_theta*IF(u_vel!V27&gt;0,(V27-U27),(W27-V27))/p_h)-v_vel!V27*((1-p_theta)*(V26-V28)/(2*p_h)+p_theta*IF(v_vel!V27&gt;0,(V27-V28),(V26-V27))/p_h)+p_nu*(W27+U27+V26+V28-4*V27)/p_h^2))</f>
        <v/>
      </c>
      <c r="W27" s="15">
        <f>IF(p_reset=1,0,W27+p_dt*(-u_vel!W27*((1-p_theta)*(X27-V27)/(2*p_h)+p_theta*IF(u_vel!W27&gt;0,(W27-V27),(X27-W27))/p_h)-v_vel!W27*((1-p_theta)*(W26-W28)/(2*p_h)+p_theta*IF(v_vel!W27&gt;0,(W27-W28),(W26-W27))/p_h)+p_nu*(X27+V27+W26+W28-4*W27)/p_h^2))</f>
        <v/>
      </c>
      <c r="X27" s="15">
        <f>IF(p_reset=1,0,X27+p_dt*(-u_vel!X27*((1-p_theta)*(Y27-W27)/(2*p_h)+p_theta*IF(u_vel!X27&gt;0,(X27-W27),(Y27-X27))/p_h)-v_vel!X27*((1-p_theta)*(X26-X28)/(2*p_h)+p_theta*IF(v_vel!X27&gt;0,(X27-X28),(X26-X27))/p_h)+p_nu*(Y27+W27+X26+X28-4*X27)/p_h^2))</f>
        <v/>
      </c>
      <c r="Y27" s="15">
        <f>IF(p_reset=1,0,Y27+p_dt*(-u_vel!Y27*((1-p_theta)*(Z27-X27)/(2*p_h)+p_theta*IF(u_vel!Y27&gt;0,(Y27-X27),(Z27-Y27))/p_h)-v_vel!Y27*((1-p_theta)*(Y26-Y28)/(2*p_h)+p_theta*IF(v_vel!Y27&gt;0,(Y27-Y28),(Y26-Y27))/p_h)+p_nu*(Z27+X27+Y26+Y28-4*Y27)/p_h^2))</f>
        <v/>
      </c>
      <c r="Z27" s="15">
        <f>IF(p_reset=1,0,Z27+p_dt*(-u_vel!Z27*((1-p_theta)*(AA27-Y27)/(2*p_h)+p_theta*IF(u_vel!Z27&gt;0,(Z27-Y27),(AA27-Z27))/p_h)-v_vel!Z27*((1-p_theta)*(Z26-Z28)/(2*p_h)+p_theta*IF(v_vel!Z27&gt;0,(Z27-Z28),(Z26-Z27))/p_h)+p_nu*(AA27+Y27+Z26+Z28-4*Z27)/p_h^2))</f>
        <v/>
      </c>
      <c r="AA27" s="15">
        <f>IF(p_reset=1,0,AA27+p_dt*(-u_vel!AA27*((1-p_theta)*(AB27-Z27)/(2*p_h)+p_theta*IF(u_vel!AA27&gt;0,(AA27-Z27),(AB27-AA27))/p_h)-v_vel!AA27*((1-p_theta)*(AA26-AA28)/(2*p_h)+p_theta*IF(v_vel!AA27&gt;0,(AA27-AA28),(AA26-AA27))/p_h)+p_nu*(AB27+Z27+AA26+AA28-4*AA27)/p_h^2))</f>
        <v/>
      </c>
      <c r="AB27" s="15">
        <f>IF(p_reset=1,0,AB27+p_dt*(-u_vel!AB27*((1-p_theta)*(AC27-AA27)/(2*p_h)+p_theta*IF(u_vel!AB27&gt;0,(AB27-AA27),(AC27-AB27))/p_h)-v_vel!AB27*((1-p_theta)*(AB26-AB28)/(2*p_h)+p_theta*IF(v_vel!AB27&gt;0,(AB27-AB28),(AB26-AB27))/p_h)+p_nu*(AC27+AA27+AB26+AB28-4*AB27)/p_h^2))</f>
        <v/>
      </c>
      <c r="AC27" s="15">
        <f>IF(p_reset=1,0,AC27+p_dt*(-u_vel!AC27*((1-p_theta)*(AD27-AB27)/(2*p_h)+p_theta*IF(u_vel!AC27&gt;0,(AC27-AB27),(AD27-AC27))/p_h)-v_vel!AC27*((1-p_theta)*(AC26-AC28)/(2*p_h)+p_theta*IF(v_vel!AC27&gt;0,(AC27-AC28),(AC26-AC27))/p_h)+p_nu*(AD27+AB27+AC26+AC28-4*AC27)/p_h^2))</f>
        <v/>
      </c>
      <c r="AD27" s="15">
        <f>IF(p_reset=1,0,AD27+p_dt*(-u_vel!AD27*((1-p_theta)*(AE27-AC27)/(2*p_h)+p_theta*IF(u_vel!AD27&gt;0,(AD27-AC27),(AE27-AD27))/p_h)-v_vel!AD27*((1-p_theta)*(AD26-AD28)/(2*p_h)+p_theta*IF(v_vel!AD27&gt;0,(AD27-AD28),(AD26-AD27))/p_h)+p_nu*(AE27+AC27+AD26+AD28-4*AD27)/p_h^2))</f>
        <v/>
      </c>
      <c r="AE27" s="15">
        <f>IF(p_reset=1,0,AE27+p_dt*(-u_vel!AE27*((1-p_theta)*(AF27-AD27)/(2*p_h)+p_theta*IF(u_vel!AE27&gt;0,(AE27-AD27),(AF27-AE27))/p_h)-v_vel!AE27*((1-p_theta)*(AE26-AE28)/(2*p_h)+p_theta*IF(v_vel!AE27&gt;0,(AE27-AE28),(AE26-AE27))/p_h)+p_nu*(AF27+AD27+AE26+AE28-4*AE27)/p_h^2))</f>
        <v/>
      </c>
      <c r="AF27" s="15">
        <f>IF(p_reset=1,0,AF27+p_dt*(-u_vel!AF27*((1-p_theta)*(AG27-AE27)/(2*p_h)+p_theta*IF(u_vel!AF27&gt;0,(AF27-AE27),(AG27-AF27))/p_h)-v_vel!AF27*((1-p_theta)*(AF26-AF28)/(2*p_h)+p_theta*IF(v_vel!AF27&gt;0,(AF27-AF28),(AF26-AF27))/p_h)+p_nu*(AG27+AE27+AF26+AF28-4*AF27)/p_h^2))</f>
        <v/>
      </c>
      <c r="AG27" s="15">
        <f>IF(p_reset=1,0,AG27+p_dt*(-u_vel!AG27*((1-p_theta)*(AH27-AF27)/(2*p_h)+p_theta*IF(u_vel!AG27&gt;0,(AG27-AF27),(AH27-AG27))/p_h)-v_vel!AG27*((1-p_theta)*(AG26-AG28)/(2*p_h)+p_theta*IF(v_vel!AG27&gt;0,(AG27-AG28),(AG26-AG27))/p_h)+p_nu*(AH27+AF27+AG26+AG28-4*AG27)/p_h^2))</f>
        <v/>
      </c>
      <c r="AH27" s="15">
        <f>-2*Psi!AG27/p_h^2</f>
        <v/>
      </c>
    </row>
    <row r="28">
      <c r="A28" s="7">
        <f>A27-p_h</f>
        <v/>
      </c>
      <c r="B28" s="15">
        <f>-2*Psi!C28/p_h^2</f>
        <v/>
      </c>
      <c r="C28" s="15">
        <f>IF(p_reset=1,0,C28+p_dt*(-u_vel!C28*((1-p_theta)*(D28-B28)/(2*p_h)+p_theta*IF(u_vel!C28&gt;0,(C28-B28),(D28-C28))/p_h)-v_vel!C28*((1-p_theta)*(C27-C29)/(2*p_h)+p_theta*IF(v_vel!C28&gt;0,(C28-C29),(C27-C28))/p_h)+p_nu*(D28+B28+C27+C29-4*C28)/p_h^2))</f>
        <v/>
      </c>
      <c r="D28" s="15">
        <f>IF(p_reset=1,0,D28+p_dt*(-u_vel!D28*((1-p_theta)*(E28-C28)/(2*p_h)+p_theta*IF(u_vel!D28&gt;0,(D28-C28),(E28-D28))/p_h)-v_vel!D28*((1-p_theta)*(D27-D29)/(2*p_h)+p_theta*IF(v_vel!D28&gt;0,(D28-D29),(D27-D28))/p_h)+p_nu*(E28+C28+D27+D29-4*D28)/p_h^2))</f>
        <v/>
      </c>
      <c r="E28" s="15">
        <f>IF(p_reset=1,0,E28+p_dt*(-u_vel!E28*((1-p_theta)*(F28-D28)/(2*p_h)+p_theta*IF(u_vel!E28&gt;0,(E28-D28),(F28-E28))/p_h)-v_vel!E28*((1-p_theta)*(E27-E29)/(2*p_h)+p_theta*IF(v_vel!E28&gt;0,(E28-E29),(E27-E28))/p_h)+p_nu*(F28+D28+E27+E29-4*E28)/p_h^2))</f>
        <v/>
      </c>
      <c r="F28" s="15">
        <f>IF(p_reset=1,0,F28+p_dt*(-u_vel!F28*((1-p_theta)*(G28-E28)/(2*p_h)+p_theta*IF(u_vel!F28&gt;0,(F28-E28),(G28-F28))/p_h)-v_vel!F28*((1-p_theta)*(F27-F29)/(2*p_h)+p_theta*IF(v_vel!F28&gt;0,(F28-F29),(F27-F28))/p_h)+p_nu*(G28+E28+F27+F29-4*F28)/p_h^2))</f>
        <v/>
      </c>
      <c r="G28" s="15">
        <f>IF(p_reset=1,0,G28+p_dt*(-u_vel!G28*((1-p_theta)*(H28-F28)/(2*p_h)+p_theta*IF(u_vel!G28&gt;0,(G28-F28),(H28-G28))/p_h)-v_vel!G28*((1-p_theta)*(G27-G29)/(2*p_h)+p_theta*IF(v_vel!G28&gt;0,(G28-G29),(G27-G28))/p_h)+p_nu*(H28+F28+G27+G29-4*G28)/p_h^2))</f>
        <v/>
      </c>
      <c r="H28" s="15">
        <f>IF(p_reset=1,0,H28+p_dt*(-u_vel!H28*((1-p_theta)*(I28-G28)/(2*p_h)+p_theta*IF(u_vel!H28&gt;0,(H28-G28),(I28-H28))/p_h)-v_vel!H28*((1-p_theta)*(H27-H29)/(2*p_h)+p_theta*IF(v_vel!H28&gt;0,(H28-H29),(H27-H28))/p_h)+p_nu*(I28+G28+H27+H29-4*H28)/p_h^2))</f>
        <v/>
      </c>
      <c r="I28" s="15">
        <f>IF(p_reset=1,0,I28+p_dt*(-u_vel!I28*((1-p_theta)*(J28-H28)/(2*p_h)+p_theta*IF(u_vel!I28&gt;0,(I28-H28),(J28-I28))/p_h)-v_vel!I28*((1-p_theta)*(I27-I29)/(2*p_h)+p_theta*IF(v_vel!I28&gt;0,(I28-I29),(I27-I28))/p_h)+p_nu*(J28+H28+I27+I29-4*I28)/p_h^2))</f>
        <v/>
      </c>
      <c r="J28" s="15">
        <f>IF(p_reset=1,0,J28+p_dt*(-u_vel!J28*((1-p_theta)*(K28-I28)/(2*p_h)+p_theta*IF(u_vel!J28&gt;0,(J28-I28),(K28-J28))/p_h)-v_vel!J28*((1-p_theta)*(J27-J29)/(2*p_h)+p_theta*IF(v_vel!J28&gt;0,(J28-J29),(J27-J28))/p_h)+p_nu*(K28+I28+J27+J29-4*J28)/p_h^2))</f>
        <v/>
      </c>
      <c r="K28" s="15">
        <f>IF(p_reset=1,0,K28+p_dt*(-u_vel!K28*((1-p_theta)*(L28-J28)/(2*p_h)+p_theta*IF(u_vel!K28&gt;0,(K28-J28),(L28-K28))/p_h)-v_vel!K28*((1-p_theta)*(K27-K29)/(2*p_h)+p_theta*IF(v_vel!K28&gt;0,(K28-K29),(K27-K28))/p_h)+p_nu*(L28+J28+K27+K29-4*K28)/p_h^2))</f>
        <v/>
      </c>
      <c r="L28" s="15">
        <f>IF(p_reset=1,0,L28+p_dt*(-u_vel!L28*((1-p_theta)*(M28-K28)/(2*p_h)+p_theta*IF(u_vel!L28&gt;0,(L28-K28),(M28-L28))/p_h)-v_vel!L28*((1-p_theta)*(L27-L29)/(2*p_h)+p_theta*IF(v_vel!L28&gt;0,(L28-L29),(L27-L28))/p_h)+p_nu*(M28+K28+L27+L29-4*L28)/p_h^2))</f>
        <v/>
      </c>
      <c r="M28" s="15">
        <f>IF(p_reset=1,0,M28+p_dt*(-u_vel!M28*((1-p_theta)*(N28-L28)/(2*p_h)+p_theta*IF(u_vel!M28&gt;0,(M28-L28),(N28-M28))/p_h)-v_vel!M28*((1-p_theta)*(M27-M29)/(2*p_h)+p_theta*IF(v_vel!M28&gt;0,(M28-M29),(M27-M28))/p_h)+p_nu*(N28+L28+M27+M29-4*M28)/p_h^2))</f>
        <v/>
      </c>
      <c r="N28" s="15">
        <f>IF(p_reset=1,0,N28+p_dt*(-u_vel!N28*((1-p_theta)*(O28-M28)/(2*p_h)+p_theta*IF(u_vel!N28&gt;0,(N28-M28),(O28-N28))/p_h)-v_vel!N28*((1-p_theta)*(N27-N29)/(2*p_h)+p_theta*IF(v_vel!N28&gt;0,(N28-N29),(N27-N28))/p_h)+p_nu*(O28+M28+N27+N29-4*N28)/p_h^2))</f>
        <v/>
      </c>
      <c r="O28" s="15">
        <f>IF(p_reset=1,0,O28+p_dt*(-u_vel!O28*((1-p_theta)*(P28-N28)/(2*p_h)+p_theta*IF(u_vel!O28&gt;0,(O28-N28),(P28-O28))/p_h)-v_vel!O28*((1-p_theta)*(O27-O29)/(2*p_h)+p_theta*IF(v_vel!O28&gt;0,(O28-O29),(O27-O28))/p_h)+p_nu*(P28+N28+O27+O29-4*O28)/p_h^2))</f>
        <v/>
      </c>
      <c r="P28" s="15">
        <f>IF(p_reset=1,0,P28+p_dt*(-u_vel!P28*((1-p_theta)*(Q28-O28)/(2*p_h)+p_theta*IF(u_vel!P28&gt;0,(P28-O28),(Q28-P28))/p_h)-v_vel!P28*((1-p_theta)*(P27-P29)/(2*p_h)+p_theta*IF(v_vel!P28&gt;0,(P28-P29),(P27-P28))/p_h)+p_nu*(Q28+O28+P27+P29-4*P28)/p_h^2))</f>
        <v/>
      </c>
      <c r="Q28" s="15">
        <f>IF(p_reset=1,0,Q28+p_dt*(-u_vel!Q28*((1-p_theta)*(R28-P28)/(2*p_h)+p_theta*IF(u_vel!Q28&gt;0,(Q28-P28),(R28-Q28))/p_h)-v_vel!Q28*((1-p_theta)*(Q27-Q29)/(2*p_h)+p_theta*IF(v_vel!Q28&gt;0,(Q28-Q29),(Q27-Q28))/p_h)+p_nu*(R28+P28+Q27+Q29-4*Q28)/p_h^2))</f>
        <v/>
      </c>
      <c r="R28" s="15">
        <f>IF(p_reset=1,0,R28+p_dt*(-u_vel!R28*((1-p_theta)*(S28-Q28)/(2*p_h)+p_theta*IF(u_vel!R28&gt;0,(R28-Q28),(S28-R28))/p_h)-v_vel!R28*((1-p_theta)*(R27-R29)/(2*p_h)+p_theta*IF(v_vel!R28&gt;0,(R28-R29),(R27-R28))/p_h)+p_nu*(S28+Q28+R27+R29-4*R28)/p_h^2))</f>
        <v/>
      </c>
      <c r="S28" s="15">
        <f>IF(p_reset=1,0,S28+p_dt*(-u_vel!S28*((1-p_theta)*(T28-R28)/(2*p_h)+p_theta*IF(u_vel!S28&gt;0,(S28-R28),(T28-S28))/p_h)-v_vel!S28*((1-p_theta)*(S27-S29)/(2*p_h)+p_theta*IF(v_vel!S28&gt;0,(S28-S29),(S27-S28))/p_h)+p_nu*(T28+R28+S27+S29-4*S28)/p_h^2))</f>
        <v/>
      </c>
      <c r="T28" s="15">
        <f>IF(p_reset=1,0,T28+p_dt*(-u_vel!T28*((1-p_theta)*(U28-S28)/(2*p_h)+p_theta*IF(u_vel!T28&gt;0,(T28-S28),(U28-T28))/p_h)-v_vel!T28*((1-p_theta)*(T27-T29)/(2*p_h)+p_theta*IF(v_vel!T28&gt;0,(T28-T29),(T27-T28))/p_h)+p_nu*(U28+S28+T27+T29-4*T28)/p_h^2))</f>
        <v/>
      </c>
      <c r="U28" s="15">
        <f>IF(p_reset=1,0,U28+p_dt*(-u_vel!U28*((1-p_theta)*(V28-T28)/(2*p_h)+p_theta*IF(u_vel!U28&gt;0,(U28-T28),(V28-U28))/p_h)-v_vel!U28*((1-p_theta)*(U27-U29)/(2*p_h)+p_theta*IF(v_vel!U28&gt;0,(U28-U29),(U27-U28))/p_h)+p_nu*(V28+T28+U27+U29-4*U28)/p_h^2))</f>
        <v/>
      </c>
      <c r="V28" s="15">
        <f>IF(p_reset=1,0,V28+p_dt*(-u_vel!V28*((1-p_theta)*(W28-U28)/(2*p_h)+p_theta*IF(u_vel!V28&gt;0,(V28-U28),(W28-V28))/p_h)-v_vel!V28*((1-p_theta)*(V27-V29)/(2*p_h)+p_theta*IF(v_vel!V28&gt;0,(V28-V29),(V27-V28))/p_h)+p_nu*(W28+U28+V27+V29-4*V28)/p_h^2))</f>
        <v/>
      </c>
      <c r="W28" s="15">
        <f>IF(p_reset=1,0,W28+p_dt*(-u_vel!W28*((1-p_theta)*(X28-V28)/(2*p_h)+p_theta*IF(u_vel!W28&gt;0,(W28-V28),(X28-W28))/p_h)-v_vel!W28*((1-p_theta)*(W27-W29)/(2*p_h)+p_theta*IF(v_vel!W28&gt;0,(W28-W29),(W27-W28))/p_h)+p_nu*(X28+V28+W27+W29-4*W28)/p_h^2))</f>
        <v/>
      </c>
      <c r="X28" s="15">
        <f>IF(p_reset=1,0,X28+p_dt*(-u_vel!X28*((1-p_theta)*(Y28-W28)/(2*p_h)+p_theta*IF(u_vel!X28&gt;0,(X28-W28),(Y28-X28))/p_h)-v_vel!X28*((1-p_theta)*(X27-X29)/(2*p_h)+p_theta*IF(v_vel!X28&gt;0,(X28-X29),(X27-X28))/p_h)+p_nu*(Y28+W28+X27+X29-4*X28)/p_h^2))</f>
        <v/>
      </c>
      <c r="Y28" s="15">
        <f>IF(p_reset=1,0,Y28+p_dt*(-u_vel!Y28*((1-p_theta)*(Z28-X28)/(2*p_h)+p_theta*IF(u_vel!Y28&gt;0,(Y28-X28),(Z28-Y28))/p_h)-v_vel!Y28*((1-p_theta)*(Y27-Y29)/(2*p_h)+p_theta*IF(v_vel!Y28&gt;0,(Y28-Y29),(Y27-Y28))/p_h)+p_nu*(Z28+X28+Y27+Y29-4*Y28)/p_h^2))</f>
        <v/>
      </c>
      <c r="Z28" s="15">
        <f>IF(p_reset=1,0,Z28+p_dt*(-u_vel!Z28*((1-p_theta)*(AA28-Y28)/(2*p_h)+p_theta*IF(u_vel!Z28&gt;0,(Z28-Y28),(AA28-Z28))/p_h)-v_vel!Z28*((1-p_theta)*(Z27-Z29)/(2*p_h)+p_theta*IF(v_vel!Z28&gt;0,(Z28-Z29),(Z27-Z28))/p_h)+p_nu*(AA28+Y28+Z27+Z29-4*Z28)/p_h^2))</f>
        <v/>
      </c>
      <c r="AA28" s="15">
        <f>IF(p_reset=1,0,AA28+p_dt*(-u_vel!AA28*((1-p_theta)*(AB28-Z28)/(2*p_h)+p_theta*IF(u_vel!AA28&gt;0,(AA28-Z28),(AB28-AA28))/p_h)-v_vel!AA28*((1-p_theta)*(AA27-AA29)/(2*p_h)+p_theta*IF(v_vel!AA28&gt;0,(AA28-AA29),(AA27-AA28))/p_h)+p_nu*(AB28+Z28+AA27+AA29-4*AA28)/p_h^2))</f>
        <v/>
      </c>
      <c r="AB28" s="15">
        <f>IF(p_reset=1,0,AB28+p_dt*(-u_vel!AB28*((1-p_theta)*(AC28-AA28)/(2*p_h)+p_theta*IF(u_vel!AB28&gt;0,(AB28-AA28),(AC28-AB28))/p_h)-v_vel!AB28*((1-p_theta)*(AB27-AB29)/(2*p_h)+p_theta*IF(v_vel!AB28&gt;0,(AB28-AB29),(AB27-AB28))/p_h)+p_nu*(AC28+AA28+AB27+AB29-4*AB28)/p_h^2))</f>
        <v/>
      </c>
      <c r="AC28" s="15">
        <f>IF(p_reset=1,0,AC28+p_dt*(-u_vel!AC28*((1-p_theta)*(AD28-AB28)/(2*p_h)+p_theta*IF(u_vel!AC28&gt;0,(AC28-AB28),(AD28-AC28))/p_h)-v_vel!AC28*((1-p_theta)*(AC27-AC29)/(2*p_h)+p_theta*IF(v_vel!AC28&gt;0,(AC28-AC29),(AC27-AC28))/p_h)+p_nu*(AD28+AB28+AC27+AC29-4*AC28)/p_h^2))</f>
        <v/>
      </c>
      <c r="AD28" s="15">
        <f>IF(p_reset=1,0,AD28+p_dt*(-u_vel!AD28*((1-p_theta)*(AE28-AC28)/(2*p_h)+p_theta*IF(u_vel!AD28&gt;0,(AD28-AC28),(AE28-AD28))/p_h)-v_vel!AD28*((1-p_theta)*(AD27-AD29)/(2*p_h)+p_theta*IF(v_vel!AD28&gt;0,(AD28-AD29),(AD27-AD28))/p_h)+p_nu*(AE28+AC28+AD27+AD29-4*AD28)/p_h^2))</f>
        <v/>
      </c>
      <c r="AE28" s="15">
        <f>IF(p_reset=1,0,AE28+p_dt*(-u_vel!AE28*((1-p_theta)*(AF28-AD28)/(2*p_h)+p_theta*IF(u_vel!AE28&gt;0,(AE28-AD28),(AF28-AE28))/p_h)-v_vel!AE28*((1-p_theta)*(AE27-AE29)/(2*p_h)+p_theta*IF(v_vel!AE28&gt;0,(AE28-AE29),(AE27-AE28))/p_h)+p_nu*(AF28+AD28+AE27+AE29-4*AE28)/p_h^2))</f>
        <v/>
      </c>
      <c r="AF28" s="15">
        <f>IF(p_reset=1,0,AF28+p_dt*(-u_vel!AF28*((1-p_theta)*(AG28-AE28)/(2*p_h)+p_theta*IF(u_vel!AF28&gt;0,(AF28-AE28),(AG28-AF28))/p_h)-v_vel!AF28*((1-p_theta)*(AF27-AF29)/(2*p_h)+p_theta*IF(v_vel!AF28&gt;0,(AF28-AF29),(AF27-AF28))/p_h)+p_nu*(AG28+AE28+AF27+AF29-4*AF28)/p_h^2))</f>
        <v/>
      </c>
      <c r="AG28" s="15">
        <f>IF(p_reset=1,0,AG28+p_dt*(-u_vel!AG28*((1-p_theta)*(AH28-AF28)/(2*p_h)+p_theta*IF(u_vel!AG28&gt;0,(AG28-AF28),(AH28-AG28))/p_h)-v_vel!AG28*((1-p_theta)*(AG27-AG29)/(2*p_h)+p_theta*IF(v_vel!AG28&gt;0,(AG28-AG29),(AG27-AG28))/p_h)+p_nu*(AH28+AF28+AG27+AG29-4*AG28)/p_h^2))</f>
        <v/>
      </c>
      <c r="AH28" s="15">
        <f>-2*Psi!AG28/p_h^2</f>
        <v/>
      </c>
    </row>
    <row r="29">
      <c r="A29" s="7">
        <f>A28-p_h</f>
        <v/>
      </c>
      <c r="B29" s="15">
        <f>-2*Psi!C29/p_h^2</f>
        <v/>
      </c>
      <c r="C29" s="15">
        <f>IF(p_reset=1,0,C29+p_dt*(-u_vel!C29*((1-p_theta)*(D29-B29)/(2*p_h)+p_theta*IF(u_vel!C29&gt;0,(C29-B29),(D29-C29))/p_h)-v_vel!C29*((1-p_theta)*(C28-C30)/(2*p_h)+p_theta*IF(v_vel!C29&gt;0,(C29-C30),(C28-C29))/p_h)+p_nu*(D29+B29+C28+C30-4*C29)/p_h^2))</f>
        <v/>
      </c>
      <c r="D29" s="15">
        <f>IF(p_reset=1,0,D29+p_dt*(-u_vel!D29*((1-p_theta)*(E29-C29)/(2*p_h)+p_theta*IF(u_vel!D29&gt;0,(D29-C29),(E29-D29))/p_h)-v_vel!D29*((1-p_theta)*(D28-D30)/(2*p_h)+p_theta*IF(v_vel!D29&gt;0,(D29-D30),(D28-D29))/p_h)+p_nu*(E29+C29+D28+D30-4*D29)/p_h^2))</f>
        <v/>
      </c>
      <c r="E29" s="15">
        <f>IF(p_reset=1,0,E29+p_dt*(-u_vel!E29*((1-p_theta)*(F29-D29)/(2*p_h)+p_theta*IF(u_vel!E29&gt;0,(E29-D29),(F29-E29))/p_h)-v_vel!E29*((1-p_theta)*(E28-E30)/(2*p_h)+p_theta*IF(v_vel!E29&gt;0,(E29-E30),(E28-E29))/p_h)+p_nu*(F29+D29+E28+E30-4*E29)/p_h^2))</f>
        <v/>
      </c>
      <c r="F29" s="15">
        <f>IF(p_reset=1,0,F29+p_dt*(-u_vel!F29*((1-p_theta)*(G29-E29)/(2*p_h)+p_theta*IF(u_vel!F29&gt;0,(F29-E29),(G29-F29))/p_h)-v_vel!F29*((1-p_theta)*(F28-F30)/(2*p_h)+p_theta*IF(v_vel!F29&gt;0,(F29-F30),(F28-F29))/p_h)+p_nu*(G29+E29+F28+F30-4*F29)/p_h^2))</f>
        <v/>
      </c>
      <c r="G29" s="15">
        <f>IF(p_reset=1,0,G29+p_dt*(-u_vel!G29*((1-p_theta)*(H29-F29)/(2*p_h)+p_theta*IF(u_vel!G29&gt;0,(G29-F29),(H29-G29))/p_h)-v_vel!G29*((1-p_theta)*(G28-G30)/(2*p_h)+p_theta*IF(v_vel!G29&gt;0,(G29-G30),(G28-G29))/p_h)+p_nu*(H29+F29+G28+G30-4*G29)/p_h^2))</f>
        <v/>
      </c>
      <c r="H29" s="15">
        <f>IF(p_reset=1,0,H29+p_dt*(-u_vel!H29*((1-p_theta)*(I29-G29)/(2*p_h)+p_theta*IF(u_vel!H29&gt;0,(H29-G29),(I29-H29))/p_h)-v_vel!H29*((1-p_theta)*(H28-H30)/(2*p_h)+p_theta*IF(v_vel!H29&gt;0,(H29-H30),(H28-H29))/p_h)+p_nu*(I29+G29+H28+H30-4*H29)/p_h^2))</f>
        <v/>
      </c>
      <c r="I29" s="15">
        <f>IF(p_reset=1,0,I29+p_dt*(-u_vel!I29*((1-p_theta)*(J29-H29)/(2*p_h)+p_theta*IF(u_vel!I29&gt;0,(I29-H29),(J29-I29))/p_h)-v_vel!I29*((1-p_theta)*(I28-I30)/(2*p_h)+p_theta*IF(v_vel!I29&gt;0,(I29-I30),(I28-I29))/p_h)+p_nu*(J29+H29+I28+I30-4*I29)/p_h^2))</f>
        <v/>
      </c>
      <c r="J29" s="15">
        <f>IF(p_reset=1,0,J29+p_dt*(-u_vel!J29*((1-p_theta)*(K29-I29)/(2*p_h)+p_theta*IF(u_vel!J29&gt;0,(J29-I29),(K29-J29))/p_h)-v_vel!J29*((1-p_theta)*(J28-J30)/(2*p_h)+p_theta*IF(v_vel!J29&gt;0,(J29-J30),(J28-J29))/p_h)+p_nu*(K29+I29+J28+J30-4*J29)/p_h^2))</f>
        <v/>
      </c>
      <c r="K29" s="15">
        <f>IF(p_reset=1,0,K29+p_dt*(-u_vel!K29*((1-p_theta)*(L29-J29)/(2*p_h)+p_theta*IF(u_vel!K29&gt;0,(K29-J29),(L29-K29))/p_h)-v_vel!K29*((1-p_theta)*(K28-K30)/(2*p_h)+p_theta*IF(v_vel!K29&gt;0,(K29-K30),(K28-K29))/p_h)+p_nu*(L29+J29+K28+K30-4*K29)/p_h^2))</f>
        <v/>
      </c>
      <c r="L29" s="15">
        <f>IF(p_reset=1,0,L29+p_dt*(-u_vel!L29*((1-p_theta)*(M29-K29)/(2*p_h)+p_theta*IF(u_vel!L29&gt;0,(L29-K29),(M29-L29))/p_h)-v_vel!L29*((1-p_theta)*(L28-L30)/(2*p_h)+p_theta*IF(v_vel!L29&gt;0,(L29-L30),(L28-L29))/p_h)+p_nu*(M29+K29+L28+L30-4*L29)/p_h^2))</f>
        <v/>
      </c>
      <c r="M29" s="15">
        <f>IF(p_reset=1,0,M29+p_dt*(-u_vel!M29*((1-p_theta)*(N29-L29)/(2*p_h)+p_theta*IF(u_vel!M29&gt;0,(M29-L29),(N29-M29))/p_h)-v_vel!M29*((1-p_theta)*(M28-M30)/(2*p_h)+p_theta*IF(v_vel!M29&gt;0,(M29-M30),(M28-M29))/p_h)+p_nu*(N29+L29+M28+M30-4*M29)/p_h^2))</f>
        <v/>
      </c>
      <c r="N29" s="15">
        <f>IF(p_reset=1,0,N29+p_dt*(-u_vel!N29*((1-p_theta)*(O29-M29)/(2*p_h)+p_theta*IF(u_vel!N29&gt;0,(N29-M29),(O29-N29))/p_h)-v_vel!N29*((1-p_theta)*(N28-N30)/(2*p_h)+p_theta*IF(v_vel!N29&gt;0,(N29-N30),(N28-N29))/p_h)+p_nu*(O29+M29+N28+N30-4*N29)/p_h^2))</f>
        <v/>
      </c>
      <c r="O29" s="15">
        <f>IF(p_reset=1,0,O29+p_dt*(-u_vel!O29*((1-p_theta)*(P29-N29)/(2*p_h)+p_theta*IF(u_vel!O29&gt;0,(O29-N29),(P29-O29))/p_h)-v_vel!O29*((1-p_theta)*(O28-O30)/(2*p_h)+p_theta*IF(v_vel!O29&gt;0,(O29-O30),(O28-O29))/p_h)+p_nu*(P29+N29+O28+O30-4*O29)/p_h^2))</f>
        <v/>
      </c>
      <c r="P29" s="15">
        <f>IF(p_reset=1,0,P29+p_dt*(-u_vel!P29*((1-p_theta)*(Q29-O29)/(2*p_h)+p_theta*IF(u_vel!P29&gt;0,(P29-O29),(Q29-P29))/p_h)-v_vel!P29*((1-p_theta)*(P28-P30)/(2*p_h)+p_theta*IF(v_vel!P29&gt;0,(P29-P30),(P28-P29))/p_h)+p_nu*(Q29+O29+P28+P30-4*P29)/p_h^2))</f>
        <v/>
      </c>
      <c r="Q29" s="15">
        <f>IF(p_reset=1,0,Q29+p_dt*(-u_vel!Q29*((1-p_theta)*(R29-P29)/(2*p_h)+p_theta*IF(u_vel!Q29&gt;0,(Q29-P29),(R29-Q29))/p_h)-v_vel!Q29*((1-p_theta)*(Q28-Q30)/(2*p_h)+p_theta*IF(v_vel!Q29&gt;0,(Q29-Q30),(Q28-Q29))/p_h)+p_nu*(R29+P29+Q28+Q30-4*Q29)/p_h^2))</f>
        <v/>
      </c>
      <c r="R29" s="15">
        <f>IF(p_reset=1,0,R29+p_dt*(-u_vel!R29*((1-p_theta)*(S29-Q29)/(2*p_h)+p_theta*IF(u_vel!R29&gt;0,(R29-Q29),(S29-R29))/p_h)-v_vel!R29*((1-p_theta)*(R28-R30)/(2*p_h)+p_theta*IF(v_vel!R29&gt;0,(R29-R30),(R28-R29))/p_h)+p_nu*(S29+Q29+R28+R30-4*R29)/p_h^2))</f>
        <v/>
      </c>
      <c r="S29" s="15">
        <f>IF(p_reset=1,0,S29+p_dt*(-u_vel!S29*((1-p_theta)*(T29-R29)/(2*p_h)+p_theta*IF(u_vel!S29&gt;0,(S29-R29),(T29-S29))/p_h)-v_vel!S29*((1-p_theta)*(S28-S30)/(2*p_h)+p_theta*IF(v_vel!S29&gt;0,(S29-S30),(S28-S29))/p_h)+p_nu*(T29+R29+S28+S30-4*S29)/p_h^2))</f>
        <v/>
      </c>
      <c r="T29" s="15">
        <f>IF(p_reset=1,0,T29+p_dt*(-u_vel!T29*((1-p_theta)*(U29-S29)/(2*p_h)+p_theta*IF(u_vel!T29&gt;0,(T29-S29),(U29-T29))/p_h)-v_vel!T29*((1-p_theta)*(T28-T30)/(2*p_h)+p_theta*IF(v_vel!T29&gt;0,(T29-T30),(T28-T29))/p_h)+p_nu*(U29+S29+T28+T30-4*T29)/p_h^2))</f>
        <v/>
      </c>
      <c r="U29" s="15">
        <f>IF(p_reset=1,0,U29+p_dt*(-u_vel!U29*((1-p_theta)*(V29-T29)/(2*p_h)+p_theta*IF(u_vel!U29&gt;0,(U29-T29),(V29-U29))/p_h)-v_vel!U29*((1-p_theta)*(U28-U30)/(2*p_h)+p_theta*IF(v_vel!U29&gt;0,(U29-U30),(U28-U29))/p_h)+p_nu*(V29+T29+U28+U30-4*U29)/p_h^2))</f>
        <v/>
      </c>
      <c r="V29" s="15">
        <f>IF(p_reset=1,0,V29+p_dt*(-u_vel!V29*((1-p_theta)*(W29-U29)/(2*p_h)+p_theta*IF(u_vel!V29&gt;0,(V29-U29),(W29-V29))/p_h)-v_vel!V29*((1-p_theta)*(V28-V30)/(2*p_h)+p_theta*IF(v_vel!V29&gt;0,(V29-V30),(V28-V29))/p_h)+p_nu*(W29+U29+V28+V30-4*V29)/p_h^2))</f>
        <v/>
      </c>
      <c r="W29" s="15">
        <f>IF(p_reset=1,0,W29+p_dt*(-u_vel!W29*((1-p_theta)*(X29-V29)/(2*p_h)+p_theta*IF(u_vel!W29&gt;0,(W29-V29),(X29-W29))/p_h)-v_vel!W29*((1-p_theta)*(W28-W30)/(2*p_h)+p_theta*IF(v_vel!W29&gt;0,(W29-W30),(W28-W29))/p_h)+p_nu*(X29+V29+W28+W30-4*W29)/p_h^2))</f>
        <v/>
      </c>
      <c r="X29" s="15">
        <f>IF(p_reset=1,0,X29+p_dt*(-u_vel!X29*((1-p_theta)*(Y29-W29)/(2*p_h)+p_theta*IF(u_vel!X29&gt;0,(X29-W29),(Y29-X29))/p_h)-v_vel!X29*((1-p_theta)*(X28-X30)/(2*p_h)+p_theta*IF(v_vel!X29&gt;0,(X29-X30),(X28-X29))/p_h)+p_nu*(Y29+W29+X28+X30-4*X29)/p_h^2))</f>
        <v/>
      </c>
      <c r="Y29" s="15">
        <f>IF(p_reset=1,0,Y29+p_dt*(-u_vel!Y29*((1-p_theta)*(Z29-X29)/(2*p_h)+p_theta*IF(u_vel!Y29&gt;0,(Y29-X29),(Z29-Y29))/p_h)-v_vel!Y29*((1-p_theta)*(Y28-Y30)/(2*p_h)+p_theta*IF(v_vel!Y29&gt;0,(Y29-Y30),(Y28-Y29))/p_h)+p_nu*(Z29+X29+Y28+Y30-4*Y29)/p_h^2))</f>
        <v/>
      </c>
      <c r="Z29" s="15">
        <f>IF(p_reset=1,0,Z29+p_dt*(-u_vel!Z29*((1-p_theta)*(AA29-Y29)/(2*p_h)+p_theta*IF(u_vel!Z29&gt;0,(Z29-Y29),(AA29-Z29))/p_h)-v_vel!Z29*((1-p_theta)*(Z28-Z30)/(2*p_h)+p_theta*IF(v_vel!Z29&gt;0,(Z29-Z30),(Z28-Z29))/p_h)+p_nu*(AA29+Y29+Z28+Z30-4*Z29)/p_h^2))</f>
        <v/>
      </c>
      <c r="AA29" s="15">
        <f>IF(p_reset=1,0,AA29+p_dt*(-u_vel!AA29*((1-p_theta)*(AB29-Z29)/(2*p_h)+p_theta*IF(u_vel!AA29&gt;0,(AA29-Z29),(AB29-AA29))/p_h)-v_vel!AA29*((1-p_theta)*(AA28-AA30)/(2*p_h)+p_theta*IF(v_vel!AA29&gt;0,(AA29-AA30),(AA28-AA29))/p_h)+p_nu*(AB29+Z29+AA28+AA30-4*AA29)/p_h^2))</f>
        <v/>
      </c>
      <c r="AB29" s="15">
        <f>IF(p_reset=1,0,AB29+p_dt*(-u_vel!AB29*((1-p_theta)*(AC29-AA29)/(2*p_h)+p_theta*IF(u_vel!AB29&gt;0,(AB29-AA29),(AC29-AB29))/p_h)-v_vel!AB29*((1-p_theta)*(AB28-AB30)/(2*p_h)+p_theta*IF(v_vel!AB29&gt;0,(AB29-AB30),(AB28-AB29))/p_h)+p_nu*(AC29+AA29+AB28+AB30-4*AB29)/p_h^2))</f>
        <v/>
      </c>
      <c r="AC29" s="15">
        <f>IF(p_reset=1,0,AC29+p_dt*(-u_vel!AC29*((1-p_theta)*(AD29-AB29)/(2*p_h)+p_theta*IF(u_vel!AC29&gt;0,(AC29-AB29),(AD29-AC29))/p_h)-v_vel!AC29*((1-p_theta)*(AC28-AC30)/(2*p_h)+p_theta*IF(v_vel!AC29&gt;0,(AC29-AC30),(AC28-AC29))/p_h)+p_nu*(AD29+AB29+AC28+AC30-4*AC29)/p_h^2))</f>
        <v/>
      </c>
      <c r="AD29" s="15">
        <f>IF(p_reset=1,0,AD29+p_dt*(-u_vel!AD29*((1-p_theta)*(AE29-AC29)/(2*p_h)+p_theta*IF(u_vel!AD29&gt;0,(AD29-AC29),(AE29-AD29))/p_h)-v_vel!AD29*((1-p_theta)*(AD28-AD30)/(2*p_h)+p_theta*IF(v_vel!AD29&gt;0,(AD29-AD30),(AD28-AD29))/p_h)+p_nu*(AE29+AC29+AD28+AD30-4*AD29)/p_h^2))</f>
        <v/>
      </c>
      <c r="AE29" s="15">
        <f>IF(p_reset=1,0,AE29+p_dt*(-u_vel!AE29*((1-p_theta)*(AF29-AD29)/(2*p_h)+p_theta*IF(u_vel!AE29&gt;0,(AE29-AD29),(AF29-AE29))/p_h)-v_vel!AE29*((1-p_theta)*(AE28-AE30)/(2*p_h)+p_theta*IF(v_vel!AE29&gt;0,(AE29-AE30),(AE28-AE29))/p_h)+p_nu*(AF29+AD29+AE28+AE30-4*AE29)/p_h^2))</f>
        <v/>
      </c>
      <c r="AF29" s="15">
        <f>IF(p_reset=1,0,AF29+p_dt*(-u_vel!AF29*((1-p_theta)*(AG29-AE29)/(2*p_h)+p_theta*IF(u_vel!AF29&gt;0,(AF29-AE29),(AG29-AF29))/p_h)-v_vel!AF29*((1-p_theta)*(AF28-AF30)/(2*p_h)+p_theta*IF(v_vel!AF29&gt;0,(AF29-AF30),(AF28-AF29))/p_h)+p_nu*(AG29+AE29+AF28+AF30-4*AF29)/p_h^2))</f>
        <v/>
      </c>
      <c r="AG29" s="15">
        <f>IF(p_reset=1,0,AG29+p_dt*(-u_vel!AG29*((1-p_theta)*(AH29-AF29)/(2*p_h)+p_theta*IF(u_vel!AG29&gt;0,(AG29-AF29),(AH29-AG29))/p_h)-v_vel!AG29*((1-p_theta)*(AG28-AG30)/(2*p_h)+p_theta*IF(v_vel!AG29&gt;0,(AG29-AG30),(AG28-AG29))/p_h)+p_nu*(AH29+AF29+AG28+AG30-4*AG29)/p_h^2))</f>
        <v/>
      </c>
      <c r="AH29" s="15">
        <f>-2*Psi!AG29/p_h^2</f>
        <v/>
      </c>
    </row>
    <row r="30">
      <c r="A30" s="7">
        <f>A29-p_h</f>
        <v/>
      </c>
      <c r="B30" s="15">
        <f>-2*Psi!C30/p_h^2</f>
        <v/>
      </c>
      <c r="C30" s="15">
        <f>IF(p_reset=1,0,C30+p_dt*(-u_vel!C30*((1-p_theta)*(D30-B30)/(2*p_h)+p_theta*IF(u_vel!C30&gt;0,(C30-B30),(D30-C30))/p_h)-v_vel!C30*((1-p_theta)*(C29-C31)/(2*p_h)+p_theta*IF(v_vel!C30&gt;0,(C30-C31),(C29-C30))/p_h)+p_nu*(D30+B30+C29+C31-4*C30)/p_h^2))</f>
        <v/>
      </c>
      <c r="D30" s="15">
        <f>IF(p_reset=1,0,D30+p_dt*(-u_vel!D30*((1-p_theta)*(E30-C30)/(2*p_h)+p_theta*IF(u_vel!D30&gt;0,(D30-C30),(E30-D30))/p_h)-v_vel!D30*((1-p_theta)*(D29-D31)/(2*p_h)+p_theta*IF(v_vel!D30&gt;0,(D30-D31),(D29-D30))/p_h)+p_nu*(E30+C30+D29+D31-4*D30)/p_h^2))</f>
        <v/>
      </c>
      <c r="E30" s="15">
        <f>IF(p_reset=1,0,E30+p_dt*(-u_vel!E30*((1-p_theta)*(F30-D30)/(2*p_h)+p_theta*IF(u_vel!E30&gt;0,(E30-D30),(F30-E30))/p_h)-v_vel!E30*((1-p_theta)*(E29-E31)/(2*p_h)+p_theta*IF(v_vel!E30&gt;0,(E30-E31),(E29-E30))/p_h)+p_nu*(F30+D30+E29+E31-4*E30)/p_h^2))</f>
        <v/>
      </c>
      <c r="F30" s="15">
        <f>IF(p_reset=1,0,F30+p_dt*(-u_vel!F30*((1-p_theta)*(G30-E30)/(2*p_h)+p_theta*IF(u_vel!F30&gt;0,(F30-E30),(G30-F30))/p_h)-v_vel!F30*((1-p_theta)*(F29-F31)/(2*p_h)+p_theta*IF(v_vel!F30&gt;0,(F30-F31),(F29-F30))/p_h)+p_nu*(G30+E30+F29+F31-4*F30)/p_h^2))</f>
        <v/>
      </c>
      <c r="G30" s="15">
        <f>IF(p_reset=1,0,G30+p_dt*(-u_vel!G30*((1-p_theta)*(H30-F30)/(2*p_h)+p_theta*IF(u_vel!G30&gt;0,(G30-F30),(H30-G30))/p_h)-v_vel!G30*((1-p_theta)*(G29-G31)/(2*p_h)+p_theta*IF(v_vel!G30&gt;0,(G30-G31),(G29-G30))/p_h)+p_nu*(H30+F30+G29+G31-4*G30)/p_h^2))</f>
        <v/>
      </c>
      <c r="H30" s="15">
        <f>IF(p_reset=1,0,H30+p_dt*(-u_vel!H30*((1-p_theta)*(I30-G30)/(2*p_h)+p_theta*IF(u_vel!H30&gt;0,(H30-G30),(I30-H30))/p_h)-v_vel!H30*((1-p_theta)*(H29-H31)/(2*p_h)+p_theta*IF(v_vel!H30&gt;0,(H30-H31),(H29-H30))/p_h)+p_nu*(I30+G30+H29+H31-4*H30)/p_h^2))</f>
        <v/>
      </c>
      <c r="I30" s="15">
        <f>IF(p_reset=1,0,I30+p_dt*(-u_vel!I30*((1-p_theta)*(J30-H30)/(2*p_h)+p_theta*IF(u_vel!I30&gt;0,(I30-H30),(J30-I30))/p_h)-v_vel!I30*((1-p_theta)*(I29-I31)/(2*p_h)+p_theta*IF(v_vel!I30&gt;0,(I30-I31),(I29-I30))/p_h)+p_nu*(J30+H30+I29+I31-4*I30)/p_h^2))</f>
        <v/>
      </c>
      <c r="J30" s="15">
        <f>IF(p_reset=1,0,J30+p_dt*(-u_vel!J30*((1-p_theta)*(K30-I30)/(2*p_h)+p_theta*IF(u_vel!J30&gt;0,(J30-I30),(K30-J30))/p_h)-v_vel!J30*((1-p_theta)*(J29-J31)/(2*p_h)+p_theta*IF(v_vel!J30&gt;0,(J30-J31),(J29-J30))/p_h)+p_nu*(K30+I30+J29+J31-4*J30)/p_h^2))</f>
        <v/>
      </c>
      <c r="K30" s="15">
        <f>IF(p_reset=1,0,K30+p_dt*(-u_vel!K30*((1-p_theta)*(L30-J30)/(2*p_h)+p_theta*IF(u_vel!K30&gt;0,(K30-J30),(L30-K30))/p_h)-v_vel!K30*((1-p_theta)*(K29-K31)/(2*p_h)+p_theta*IF(v_vel!K30&gt;0,(K30-K31),(K29-K30))/p_h)+p_nu*(L30+J30+K29+K31-4*K30)/p_h^2))</f>
        <v/>
      </c>
      <c r="L30" s="15">
        <f>IF(p_reset=1,0,L30+p_dt*(-u_vel!L30*((1-p_theta)*(M30-K30)/(2*p_h)+p_theta*IF(u_vel!L30&gt;0,(L30-K30),(M30-L30))/p_h)-v_vel!L30*((1-p_theta)*(L29-L31)/(2*p_h)+p_theta*IF(v_vel!L30&gt;0,(L30-L31),(L29-L30))/p_h)+p_nu*(M30+K30+L29+L31-4*L30)/p_h^2))</f>
        <v/>
      </c>
      <c r="M30" s="15">
        <f>IF(p_reset=1,0,M30+p_dt*(-u_vel!M30*((1-p_theta)*(N30-L30)/(2*p_h)+p_theta*IF(u_vel!M30&gt;0,(M30-L30),(N30-M30))/p_h)-v_vel!M30*((1-p_theta)*(M29-M31)/(2*p_h)+p_theta*IF(v_vel!M30&gt;0,(M30-M31),(M29-M30))/p_h)+p_nu*(N30+L30+M29+M31-4*M30)/p_h^2))</f>
        <v/>
      </c>
      <c r="N30" s="15">
        <f>IF(p_reset=1,0,N30+p_dt*(-u_vel!N30*((1-p_theta)*(O30-M30)/(2*p_h)+p_theta*IF(u_vel!N30&gt;0,(N30-M30),(O30-N30))/p_h)-v_vel!N30*((1-p_theta)*(N29-N31)/(2*p_h)+p_theta*IF(v_vel!N30&gt;0,(N30-N31),(N29-N30))/p_h)+p_nu*(O30+M30+N29+N31-4*N30)/p_h^2))</f>
        <v/>
      </c>
      <c r="O30" s="15">
        <f>IF(p_reset=1,0,O30+p_dt*(-u_vel!O30*((1-p_theta)*(P30-N30)/(2*p_h)+p_theta*IF(u_vel!O30&gt;0,(O30-N30),(P30-O30))/p_h)-v_vel!O30*((1-p_theta)*(O29-O31)/(2*p_h)+p_theta*IF(v_vel!O30&gt;0,(O30-O31),(O29-O30))/p_h)+p_nu*(P30+N30+O29+O31-4*O30)/p_h^2))</f>
        <v/>
      </c>
      <c r="P30" s="15">
        <f>IF(p_reset=1,0,P30+p_dt*(-u_vel!P30*((1-p_theta)*(Q30-O30)/(2*p_h)+p_theta*IF(u_vel!P30&gt;0,(P30-O30),(Q30-P30))/p_h)-v_vel!P30*((1-p_theta)*(P29-P31)/(2*p_h)+p_theta*IF(v_vel!P30&gt;0,(P30-P31),(P29-P30))/p_h)+p_nu*(Q30+O30+P29+P31-4*P30)/p_h^2))</f>
        <v/>
      </c>
      <c r="Q30" s="15">
        <f>IF(p_reset=1,0,Q30+p_dt*(-u_vel!Q30*((1-p_theta)*(R30-P30)/(2*p_h)+p_theta*IF(u_vel!Q30&gt;0,(Q30-P30),(R30-Q30))/p_h)-v_vel!Q30*((1-p_theta)*(Q29-Q31)/(2*p_h)+p_theta*IF(v_vel!Q30&gt;0,(Q30-Q31),(Q29-Q30))/p_h)+p_nu*(R30+P30+Q29+Q31-4*Q30)/p_h^2))</f>
        <v/>
      </c>
      <c r="R30" s="15">
        <f>IF(p_reset=1,0,R30+p_dt*(-u_vel!R30*((1-p_theta)*(S30-Q30)/(2*p_h)+p_theta*IF(u_vel!R30&gt;0,(R30-Q30),(S30-R30))/p_h)-v_vel!R30*((1-p_theta)*(R29-R31)/(2*p_h)+p_theta*IF(v_vel!R30&gt;0,(R30-R31),(R29-R30))/p_h)+p_nu*(S30+Q30+R29+R31-4*R30)/p_h^2))</f>
        <v/>
      </c>
      <c r="S30" s="15">
        <f>IF(p_reset=1,0,S30+p_dt*(-u_vel!S30*((1-p_theta)*(T30-R30)/(2*p_h)+p_theta*IF(u_vel!S30&gt;0,(S30-R30),(T30-S30))/p_h)-v_vel!S30*((1-p_theta)*(S29-S31)/(2*p_h)+p_theta*IF(v_vel!S30&gt;0,(S30-S31),(S29-S30))/p_h)+p_nu*(T30+R30+S29+S31-4*S30)/p_h^2))</f>
        <v/>
      </c>
      <c r="T30" s="15">
        <f>IF(p_reset=1,0,T30+p_dt*(-u_vel!T30*((1-p_theta)*(U30-S30)/(2*p_h)+p_theta*IF(u_vel!T30&gt;0,(T30-S30),(U30-T30))/p_h)-v_vel!T30*((1-p_theta)*(T29-T31)/(2*p_h)+p_theta*IF(v_vel!T30&gt;0,(T30-T31),(T29-T30))/p_h)+p_nu*(U30+S30+T29+T31-4*T30)/p_h^2))</f>
        <v/>
      </c>
      <c r="U30" s="15">
        <f>IF(p_reset=1,0,U30+p_dt*(-u_vel!U30*((1-p_theta)*(V30-T30)/(2*p_h)+p_theta*IF(u_vel!U30&gt;0,(U30-T30),(V30-U30))/p_h)-v_vel!U30*((1-p_theta)*(U29-U31)/(2*p_h)+p_theta*IF(v_vel!U30&gt;0,(U30-U31),(U29-U30))/p_h)+p_nu*(V30+T30+U29+U31-4*U30)/p_h^2))</f>
        <v/>
      </c>
      <c r="V30" s="15">
        <f>IF(p_reset=1,0,V30+p_dt*(-u_vel!V30*((1-p_theta)*(W30-U30)/(2*p_h)+p_theta*IF(u_vel!V30&gt;0,(V30-U30),(W30-V30))/p_h)-v_vel!V30*((1-p_theta)*(V29-V31)/(2*p_h)+p_theta*IF(v_vel!V30&gt;0,(V30-V31),(V29-V30))/p_h)+p_nu*(W30+U30+V29+V31-4*V30)/p_h^2))</f>
        <v/>
      </c>
      <c r="W30" s="15">
        <f>IF(p_reset=1,0,W30+p_dt*(-u_vel!W30*((1-p_theta)*(X30-V30)/(2*p_h)+p_theta*IF(u_vel!W30&gt;0,(W30-V30),(X30-W30))/p_h)-v_vel!W30*((1-p_theta)*(W29-W31)/(2*p_h)+p_theta*IF(v_vel!W30&gt;0,(W30-W31),(W29-W30))/p_h)+p_nu*(X30+V30+W29+W31-4*W30)/p_h^2))</f>
        <v/>
      </c>
      <c r="X30" s="15">
        <f>IF(p_reset=1,0,X30+p_dt*(-u_vel!X30*((1-p_theta)*(Y30-W30)/(2*p_h)+p_theta*IF(u_vel!X30&gt;0,(X30-W30),(Y30-X30))/p_h)-v_vel!X30*((1-p_theta)*(X29-X31)/(2*p_h)+p_theta*IF(v_vel!X30&gt;0,(X30-X31),(X29-X30))/p_h)+p_nu*(Y30+W30+X29+X31-4*X30)/p_h^2))</f>
        <v/>
      </c>
      <c r="Y30" s="15">
        <f>IF(p_reset=1,0,Y30+p_dt*(-u_vel!Y30*((1-p_theta)*(Z30-X30)/(2*p_h)+p_theta*IF(u_vel!Y30&gt;0,(Y30-X30),(Z30-Y30))/p_h)-v_vel!Y30*((1-p_theta)*(Y29-Y31)/(2*p_h)+p_theta*IF(v_vel!Y30&gt;0,(Y30-Y31),(Y29-Y30))/p_h)+p_nu*(Z30+X30+Y29+Y31-4*Y30)/p_h^2))</f>
        <v/>
      </c>
      <c r="Z30" s="15">
        <f>IF(p_reset=1,0,Z30+p_dt*(-u_vel!Z30*((1-p_theta)*(AA30-Y30)/(2*p_h)+p_theta*IF(u_vel!Z30&gt;0,(Z30-Y30),(AA30-Z30))/p_h)-v_vel!Z30*((1-p_theta)*(Z29-Z31)/(2*p_h)+p_theta*IF(v_vel!Z30&gt;0,(Z30-Z31),(Z29-Z30))/p_h)+p_nu*(AA30+Y30+Z29+Z31-4*Z30)/p_h^2))</f>
        <v/>
      </c>
      <c r="AA30" s="15">
        <f>IF(p_reset=1,0,AA30+p_dt*(-u_vel!AA30*((1-p_theta)*(AB30-Z30)/(2*p_h)+p_theta*IF(u_vel!AA30&gt;0,(AA30-Z30),(AB30-AA30))/p_h)-v_vel!AA30*((1-p_theta)*(AA29-AA31)/(2*p_h)+p_theta*IF(v_vel!AA30&gt;0,(AA30-AA31),(AA29-AA30))/p_h)+p_nu*(AB30+Z30+AA29+AA31-4*AA30)/p_h^2))</f>
        <v/>
      </c>
      <c r="AB30" s="15">
        <f>IF(p_reset=1,0,AB30+p_dt*(-u_vel!AB30*((1-p_theta)*(AC30-AA30)/(2*p_h)+p_theta*IF(u_vel!AB30&gt;0,(AB30-AA30),(AC30-AB30))/p_h)-v_vel!AB30*((1-p_theta)*(AB29-AB31)/(2*p_h)+p_theta*IF(v_vel!AB30&gt;0,(AB30-AB31),(AB29-AB30))/p_h)+p_nu*(AC30+AA30+AB29+AB31-4*AB30)/p_h^2))</f>
        <v/>
      </c>
      <c r="AC30" s="15">
        <f>IF(p_reset=1,0,AC30+p_dt*(-u_vel!AC30*((1-p_theta)*(AD30-AB30)/(2*p_h)+p_theta*IF(u_vel!AC30&gt;0,(AC30-AB30),(AD30-AC30))/p_h)-v_vel!AC30*((1-p_theta)*(AC29-AC31)/(2*p_h)+p_theta*IF(v_vel!AC30&gt;0,(AC30-AC31),(AC29-AC30))/p_h)+p_nu*(AD30+AB30+AC29+AC31-4*AC30)/p_h^2))</f>
        <v/>
      </c>
      <c r="AD30" s="15">
        <f>IF(p_reset=1,0,AD30+p_dt*(-u_vel!AD30*((1-p_theta)*(AE30-AC30)/(2*p_h)+p_theta*IF(u_vel!AD30&gt;0,(AD30-AC30),(AE30-AD30))/p_h)-v_vel!AD30*((1-p_theta)*(AD29-AD31)/(2*p_h)+p_theta*IF(v_vel!AD30&gt;0,(AD30-AD31),(AD29-AD30))/p_h)+p_nu*(AE30+AC30+AD29+AD31-4*AD30)/p_h^2))</f>
        <v/>
      </c>
      <c r="AE30" s="15">
        <f>IF(p_reset=1,0,AE30+p_dt*(-u_vel!AE30*((1-p_theta)*(AF30-AD30)/(2*p_h)+p_theta*IF(u_vel!AE30&gt;0,(AE30-AD30),(AF30-AE30))/p_h)-v_vel!AE30*((1-p_theta)*(AE29-AE31)/(2*p_h)+p_theta*IF(v_vel!AE30&gt;0,(AE30-AE31),(AE29-AE30))/p_h)+p_nu*(AF30+AD30+AE29+AE31-4*AE30)/p_h^2))</f>
        <v/>
      </c>
      <c r="AF30" s="15">
        <f>IF(p_reset=1,0,AF30+p_dt*(-u_vel!AF30*((1-p_theta)*(AG30-AE30)/(2*p_h)+p_theta*IF(u_vel!AF30&gt;0,(AF30-AE30),(AG30-AF30))/p_h)-v_vel!AF30*((1-p_theta)*(AF29-AF31)/(2*p_h)+p_theta*IF(v_vel!AF30&gt;0,(AF30-AF31),(AF29-AF30))/p_h)+p_nu*(AG30+AE30+AF29+AF31-4*AF30)/p_h^2))</f>
        <v/>
      </c>
      <c r="AG30" s="15">
        <f>IF(p_reset=1,0,AG30+p_dt*(-u_vel!AG30*((1-p_theta)*(AH30-AF30)/(2*p_h)+p_theta*IF(u_vel!AG30&gt;0,(AG30-AF30),(AH30-AG30))/p_h)-v_vel!AG30*((1-p_theta)*(AG29-AG31)/(2*p_h)+p_theta*IF(v_vel!AG30&gt;0,(AG30-AG31),(AG29-AG30))/p_h)+p_nu*(AH30+AF30+AG29+AG31-4*AG30)/p_h^2))</f>
        <v/>
      </c>
      <c r="AH30" s="15">
        <f>-2*Psi!AG30/p_h^2</f>
        <v/>
      </c>
    </row>
    <row r="31">
      <c r="A31" s="7">
        <f>A30-p_h</f>
        <v/>
      </c>
      <c r="B31" s="15">
        <f>-2*Psi!C31/p_h^2</f>
        <v/>
      </c>
      <c r="C31" s="15">
        <f>IF(p_reset=1,0,C31+p_dt*(-u_vel!C31*((1-p_theta)*(D31-B31)/(2*p_h)+p_theta*IF(u_vel!C31&gt;0,(C31-B31),(D31-C31))/p_h)-v_vel!C31*((1-p_theta)*(C30-C32)/(2*p_h)+p_theta*IF(v_vel!C31&gt;0,(C31-C32),(C30-C31))/p_h)+p_nu*(D31+B31+C30+C32-4*C31)/p_h^2))</f>
        <v/>
      </c>
      <c r="D31" s="15">
        <f>IF(p_reset=1,0,D31+p_dt*(-u_vel!D31*((1-p_theta)*(E31-C31)/(2*p_h)+p_theta*IF(u_vel!D31&gt;0,(D31-C31),(E31-D31))/p_h)-v_vel!D31*((1-p_theta)*(D30-D32)/(2*p_h)+p_theta*IF(v_vel!D31&gt;0,(D31-D32),(D30-D31))/p_h)+p_nu*(E31+C31+D30+D32-4*D31)/p_h^2))</f>
        <v/>
      </c>
      <c r="E31" s="15">
        <f>IF(p_reset=1,0,E31+p_dt*(-u_vel!E31*((1-p_theta)*(F31-D31)/(2*p_h)+p_theta*IF(u_vel!E31&gt;0,(E31-D31),(F31-E31))/p_h)-v_vel!E31*((1-p_theta)*(E30-E32)/(2*p_h)+p_theta*IF(v_vel!E31&gt;0,(E31-E32),(E30-E31))/p_h)+p_nu*(F31+D31+E30+E32-4*E31)/p_h^2))</f>
        <v/>
      </c>
      <c r="F31" s="15">
        <f>IF(p_reset=1,0,F31+p_dt*(-u_vel!F31*((1-p_theta)*(G31-E31)/(2*p_h)+p_theta*IF(u_vel!F31&gt;0,(F31-E31),(G31-F31))/p_h)-v_vel!F31*((1-p_theta)*(F30-F32)/(2*p_h)+p_theta*IF(v_vel!F31&gt;0,(F31-F32),(F30-F31))/p_h)+p_nu*(G31+E31+F30+F32-4*F31)/p_h^2))</f>
        <v/>
      </c>
      <c r="G31" s="15">
        <f>IF(p_reset=1,0,G31+p_dt*(-u_vel!G31*((1-p_theta)*(H31-F31)/(2*p_h)+p_theta*IF(u_vel!G31&gt;0,(G31-F31),(H31-G31))/p_h)-v_vel!G31*((1-p_theta)*(G30-G32)/(2*p_h)+p_theta*IF(v_vel!G31&gt;0,(G31-G32),(G30-G31))/p_h)+p_nu*(H31+F31+G30+G32-4*G31)/p_h^2))</f>
        <v/>
      </c>
      <c r="H31" s="15">
        <f>IF(p_reset=1,0,H31+p_dt*(-u_vel!H31*((1-p_theta)*(I31-G31)/(2*p_h)+p_theta*IF(u_vel!H31&gt;0,(H31-G31),(I31-H31))/p_h)-v_vel!H31*((1-p_theta)*(H30-H32)/(2*p_h)+p_theta*IF(v_vel!H31&gt;0,(H31-H32),(H30-H31))/p_h)+p_nu*(I31+G31+H30+H32-4*H31)/p_h^2))</f>
        <v/>
      </c>
      <c r="I31" s="15">
        <f>IF(p_reset=1,0,I31+p_dt*(-u_vel!I31*((1-p_theta)*(J31-H31)/(2*p_h)+p_theta*IF(u_vel!I31&gt;0,(I31-H31),(J31-I31))/p_h)-v_vel!I31*((1-p_theta)*(I30-I32)/(2*p_h)+p_theta*IF(v_vel!I31&gt;0,(I31-I32),(I30-I31))/p_h)+p_nu*(J31+H31+I30+I32-4*I31)/p_h^2))</f>
        <v/>
      </c>
      <c r="J31" s="15">
        <f>IF(p_reset=1,0,J31+p_dt*(-u_vel!J31*((1-p_theta)*(K31-I31)/(2*p_h)+p_theta*IF(u_vel!J31&gt;0,(J31-I31),(K31-J31))/p_h)-v_vel!J31*((1-p_theta)*(J30-J32)/(2*p_h)+p_theta*IF(v_vel!J31&gt;0,(J31-J32),(J30-J31))/p_h)+p_nu*(K31+I31+J30+J32-4*J31)/p_h^2))</f>
        <v/>
      </c>
      <c r="K31" s="15">
        <f>IF(p_reset=1,0,K31+p_dt*(-u_vel!K31*((1-p_theta)*(L31-J31)/(2*p_h)+p_theta*IF(u_vel!K31&gt;0,(K31-J31),(L31-K31))/p_h)-v_vel!K31*((1-p_theta)*(K30-K32)/(2*p_h)+p_theta*IF(v_vel!K31&gt;0,(K31-K32),(K30-K31))/p_h)+p_nu*(L31+J31+K30+K32-4*K31)/p_h^2))</f>
        <v/>
      </c>
      <c r="L31" s="15">
        <f>IF(p_reset=1,0,L31+p_dt*(-u_vel!L31*((1-p_theta)*(M31-K31)/(2*p_h)+p_theta*IF(u_vel!L31&gt;0,(L31-K31),(M31-L31))/p_h)-v_vel!L31*((1-p_theta)*(L30-L32)/(2*p_h)+p_theta*IF(v_vel!L31&gt;0,(L31-L32),(L30-L31))/p_h)+p_nu*(M31+K31+L30+L32-4*L31)/p_h^2))</f>
        <v/>
      </c>
      <c r="M31" s="15">
        <f>IF(p_reset=1,0,M31+p_dt*(-u_vel!M31*((1-p_theta)*(N31-L31)/(2*p_h)+p_theta*IF(u_vel!M31&gt;0,(M31-L31),(N31-M31))/p_h)-v_vel!M31*((1-p_theta)*(M30-M32)/(2*p_h)+p_theta*IF(v_vel!M31&gt;0,(M31-M32),(M30-M31))/p_h)+p_nu*(N31+L31+M30+M32-4*M31)/p_h^2))</f>
        <v/>
      </c>
      <c r="N31" s="15">
        <f>IF(p_reset=1,0,N31+p_dt*(-u_vel!N31*((1-p_theta)*(O31-M31)/(2*p_h)+p_theta*IF(u_vel!N31&gt;0,(N31-M31),(O31-N31))/p_h)-v_vel!N31*((1-p_theta)*(N30-N32)/(2*p_h)+p_theta*IF(v_vel!N31&gt;0,(N31-N32),(N30-N31))/p_h)+p_nu*(O31+M31+N30+N32-4*N31)/p_h^2))</f>
        <v/>
      </c>
      <c r="O31" s="15">
        <f>IF(p_reset=1,0,O31+p_dt*(-u_vel!O31*((1-p_theta)*(P31-N31)/(2*p_h)+p_theta*IF(u_vel!O31&gt;0,(O31-N31),(P31-O31))/p_h)-v_vel!O31*((1-p_theta)*(O30-O32)/(2*p_h)+p_theta*IF(v_vel!O31&gt;0,(O31-O32),(O30-O31))/p_h)+p_nu*(P31+N31+O30+O32-4*O31)/p_h^2))</f>
        <v/>
      </c>
      <c r="P31" s="15">
        <f>IF(p_reset=1,0,P31+p_dt*(-u_vel!P31*((1-p_theta)*(Q31-O31)/(2*p_h)+p_theta*IF(u_vel!P31&gt;0,(P31-O31),(Q31-P31))/p_h)-v_vel!P31*((1-p_theta)*(P30-P32)/(2*p_h)+p_theta*IF(v_vel!P31&gt;0,(P31-P32),(P30-P31))/p_h)+p_nu*(Q31+O31+P30+P32-4*P31)/p_h^2))</f>
        <v/>
      </c>
      <c r="Q31" s="15">
        <f>IF(p_reset=1,0,Q31+p_dt*(-u_vel!Q31*((1-p_theta)*(R31-P31)/(2*p_h)+p_theta*IF(u_vel!Q31&gt;0,(Q31-P31),(R31-Q31))/p_h)-v_vel!Q31*((1-p_theta)*(Q30-Q32)/(2*p_h)+p_theta*IF(v_vel!Q31&gt;0,(Q31-Q32),(Q30-Q31))/p_h)+p_nu*(R31+P31+Q30+Q32-4*Q31)/p_h^2))</f>
        <v/>
      </c>
      <c r="R31" s="15">
        <f>IF(p_reset=1,0,R31+p_dt*(-u_vel!R31*((1-p_theta)*(S31-Q31)/(2*p_h)+p_theta*IF(u_vel!R31&gt;0,(R31-Q31),(S31-R31))/p_h)-v_vel!R31*((1-p_theta)*(R30-R32)/(2*p_h)+p_theta*IF(v_vel!R31&gt;0,(R31-R32),(R30-R31))/p_h)+p_nu*(S31+Q31+R30+R32-4*R31)/p_h^2))</f>
        <v/>
      </c>
      <c r="S31" s="15">
        <f>IF(p_reset=1,0,S31+p_dt*(-u_vel!S31*((1-p_theta)*(T31-R31)/(2*p_h)+p_theta*IF(u_vel!S31&gt;0,(S31-R31),(T31-S31))/p_h)-v_vel!S31*((1-p_theta)*(S30-S32)/(2*p_h)+p_theta*IF(v_vel!S31&gt;0,(S31-S32),(S30-S31))/p_h)+p_nu*(T31+R31+S30+S32-4*S31)/p_h^2))</f>
        <v/>
      </c>
      <c r="T31" s="15">
        <f>IF(p_reset=1,0,T31+p_dt*(-u_vel!T31*((1-p_theta)*(U31-S31)/(2*p_h)+p_theta*IF(u_vel!T31&gt;0,(T31-S31),(U31-T31))/p_h)-v_vel!T31*((1-p_theta)*(T30-T32)/(2*p_h)+p_theta*IF(v_vel!T31&gt;0,(T31-T32),(T30-T31))/p_h)+p_nu*(U31+S31+T30+T32-4*T31)/p_h^2))</f>
        <v/>
      </c>
      <c r="U31" s="15">
        <f>IF(p_reset=1,0,U31+p_dt*(-u_vel!U31*((1-p_theta)*(V31-T31)/(2*p_h)+p_theta*IF(u_vel!U31&gt;0,(U31-T31),(V31-U31))/p_h)-v_vel!U31*((1-p_theta)*(U30-U32)/(2*p_h)+p_theta*IF(v_vel!U31&gt;0,(U31-U32),(U30-U31))/p_h)+p_nu*(V31+T31+U30+U32-4*U31)/p_h^2))</f>
        <v/>
      </c>
      <c r="V31" s="15">
        <f>IF(p_reset=1,0,V31+p_dt*(-u_vel!V31*((1-p_theta)*(W31-U31)/(2*p_h)+p_theta*IF(u_vel!V31&gt;0,(V31-U31),(W31-V31))/p_h)-v_vel!V31*((1-p_theta)*(V30-V32)/(2*p_h)+p_theta*IF(v_vel!V31&gt;0,(V31-V32),(V30-V31))/p_h)+p_nu*(W31+U31+V30+V32-4*V31)/p_h^2))</f>
        <v/>
      </c>
      <c r="W31" s="15">
        <f>IF(p_reset=1,0,W31+p_dt*(-u_vel!W31*((1-p_theta)*(X31-V31)/(2*p_h)+p_theta*IF(u_vel!W31&gt;0,(W31-V31),(X31-W31))/p_h)-v_vel!W31*((1-p_theta)*(W30-W32)/(2*p_h)+p_theta*IF(v_vel!W31&gt;0,(W31-W32),(W30-W31))/p_h)+p_nu*(X31+V31+W30+W32-4*W31)/p_h^2))</f>
        <v/>
      </c>
      <c r="X31" s="15">
        <f>IF(p_reset=1,0,X31+p_dt*(-u_vel!X31*((1-p_theta)*(Y31-W31)/(2*p_h)+p_theta*IF(u_vel!X31&gt;0,(X31-W31),(Y31-X31))/p_h)-v_vel!X31*((1-p_theta)*(X30-X32)/(2*p_h)+p_theta*IF(v_vel!X31&gt;0,(X31-X32),(X30-X31))/p_h)+p_nu*(Y31+W31+X30+X32-4*X31)/p_h^2))</f>
        <v/>
      </c>
      <c r="Y31" s="15">
        <f>IF(p_reset=1,0,Y31+p_dt*(-u_vel!Y31*((1-p_theta)*(Z31-X31)/(2*p_h)+p_theta*IF(u_vel!Y31&gt;0,(Y31-X31),(Z31-Y31))/p_h)-v_vel!Y31*((1-p_theta)*(Y30-Y32)/(2*p_h)+p_theta*IF(v_vel!Y31&gt;0,(Y31-Y32),(Y30-Y31))/p_h)+p_nu*(Z31+X31+Y30+Y32-4*Y31)/p_h^2))</f>
        <v/>
      </c>
      <c r="Z31" s="15">
        <f>IF(p_reset=1,0,Z31+p_dt*(-u_vel!Z31*((1-p_theta)*(AA31-Y31)/(2*p_h)+p_theta*IF(u_vel!Z31&gt;0,(Z31-Y31),(AA31-Z31))/p_h)-v_vel!Z31*((1-p_theta)*(Z30-Z32)/(2*p_h)+p_theta*IF(v_vel!Z31&gt;0,(Z31-Z32),(Z30-Z31))/p_h)+p_nu*(AA31+Y31+Z30+Z32-4*Z31)/p_h^2))</f>
        <v/>
      </c>
      <c r="AA31" s="15">
        <f>IF(p_reset=1,0,AA31+p_dt*(-u_vel!AA31*((1-p_theta)*(AB31-Z31)/(2*p_h)+p_theta*IF(u_vel!AA31&gt;0,(AA31-Z31),(AB31-AA31))/p_h)-v_vel!AA31*((1-p_theta)*(AA30-AA32)/(2*p_h)+p_theta*IF(v_vel!AA31&gt;0,(AA31-AA32),(AA30-AA31))/p_h)+p_nu*(AB31+Z31+AA30+AA32-4*AA31)/p_h^2))</f>
        <v/>
      </c>
      <c r="AB31" s="15">
        <f>IF(p_reset=1,0,AB31+p_dt*(-u_vel!AB31*((1-p_theta)*(AC31-AA31)/(2*p_h)+p_theta*IF(u_vel!AB31&gt;0,(AB31-AA31),(AC31-AB31))/p_h)-v_vel!AB31*((1-p_theta)*(AB30-AB32)/(2*p_h)+p_theta*IF(v_vel!AB31&gt;0,(AB31-AB32),(AB30-AB31))/p_h)+p_nu*(AC31+AA31+AB30+AB32-4*AB31)/p_h^2))</f>
        <v/>
      </c>
      <c r="AC31" s="15">
        <f>IF(p_reset=1,0,AC31+p_dt*(-u_vel!AC31*((1-p_theta)*(AD31-AB31)/(2*p_h)+p_theta*IF(u_vel!AC31&gt;0,(AC31-AB31),(AD31-AC31))/p_h)-v_vel!AC31*((1-p_theta)*(AC30-AC32)/(2*p_h)+p_theta*IF(v_vel!AC31&gt;0,(AC31-AC32),(AC30-AC31))/p_h)+p_nu*(AD31+AB31+AC30+AC32-4*AC31)/p_h^2))</f>
        <v/>
      </c>
      <c r="AD31" s="15">
        <f>IF(p_reset=1,0,AD31+p_dt*(-u_vel!AD31*((1-p_theta)*(AE31-AC31)/(2*p_h)+p_theta*IF(u_vel!AD31&gt;0,(AD31-AC31),(AE31-AD31))/p_h)-v_vel!AD31*((1-p_theta)*(AD30-AD32)/(2*p_h)+p_theta*IF(v_vel!AD31&gt;0,(AD31-AD32),(AD30-AD31))/p_h)+p_nu*(AE31+AC31+AD30+AD32-4*AD31)/p_h^2))</f>
        <v/>
      </c>
      <c r="AE31" s="15">
        <f>IF(p_reset=1,0,AE31+p_dt*(-u_vel!AE31*((1-p_theta)*(AF31-AD31)/(2*p_h)+p_theta*IF(u_vel!AE31&gt;0,(AE31-AD31),(AF31-AE31))/p_h)-v_vel!AE31*((1-p_theta)*(AE30-AE32)/(2*p_h)+p_theta*IF(v_vel!AE31&gt;0,(AE31-AE32),(AE30-AE31))/p_h)+p_nu*(AF31+AD31+AE30+AE32-4*AE31)/p_h^2))</f>
        <v/>
      </c>
      <c r="AF31" s="15">
        <f>IF(p_reset=1,0,AF31+p_dt*(-u_vel!AF31*((1-p_theta)*(AG31-AE31)/(2*p_h)+p_theta*IF(u_vel!AF31&gt;0,(AF31-AE31),(AG31-AF31))/p_h)-v_vel!AF31*((1-p_theta)*(AF30-AF32)/(2*p_h)+p_theta*IF(v_vel!AF31&gt;0,(AF31-AF32),(AF30-AF31))/p_h)+p_nu*(AG31+AE31+AF30+AF32-4*AF31)/p_h^2))</f>
        <v/>
      </c>
      <c r="AG31" s="15">
        <f>IF(p_reset=1,0,AG31+p_dt*(-u_vel!AG31*((1-p_theta)*(AH31-AF31)/(2*p_h)+p_theta*IF(u_vel!AG31&gt;0,(AG31-AF31),(AH31-AG31))/p_h)-v_vel!AG31*((1-p_theta)*(AG30-AG32)/(2*p_h)+p_theta*IF(v_vel!AG31&gt;0,(AG31-AG32),(AG30-AG31))/p_h)+p_nu*(AH31+AF31+AG30+AG32-4*AG31)/p_h^2))</f>
        <v/>
      </c>
      <c r="AH31" s="15">
        <f>-2*Psi!AG31/p_h^2</f>
        <v/>
      </c>
    </row>
    <row r="32">
      <c r="A32" s="7">
        <f>A31-p_h</f>
        <v/>
      </c>
      <c r="B32" s="15">
        <f>-2*Psi!C32/p_h^2</f>
        <v/>
      </c>
      <c r="C32" s="15">
        <f>IF(p_reset=1,0,C32+p_dt*(-u_vel!C32*((1-p_theta)*(D32-B32)/(2*p_h)+p_theta*IF(u_vel!C32&gt;0,(C32-B32),(D32-C32))/p_h)-v_vel!C32*((1-p_theta)*(C31-C33)/(2*p_h)+p_theta*IF(v_vel!C32&gt;0,(C32-C33),(C31-C32))/p_h)+p_nu*(D32+B32+C31+C33-4*C32)/p_h^2))</f>
        <v/>
      </c>
      <c r="D32" s="15">
        <f>IF(p_reset=1,0,D32+p_dt*(-u_vel!D32*((1-p_theta)*(E32-C32)/(2*p_h)+p_theta*IF(u_vel!D32&gt;0,(D32-C32),(E32-D32))/p_h)-v_vel!D32*((1-p_theta)*(D31-D33)/(2*p_h)+p_theta*IF(v_vel!D32&gt;0,(D32-D33),(D31-D32))/p_h)+p_nu*(E32+C32+D31+D33-4*D32)/p_h^2))</f>
        <v/>
      </c>
      <c r="E32" s="15">
        <f>IF(p_reset=1,0,E32+p_dt*(-u_vel!E32*((1-p_theta)*(F32-D32)/(2*p_h)+p_theta*IF(u_vel!E32&gt;0,(E32-D32),(F32-E32))/p_h)-v_vel!E32*((1-p_theta)*(E31-E33)/(2*p_h)+p_theta*IF(v_vel!E32&gt;0,(E32-E33),(E31-E32))/p_h)+p_nu*(F32+D32+E31+E33-4*E32)/p_h^2))</f>
        <v/>
      </c>
      <c r="F32" s="15">
        <f>IF(p_reset=1,0,F32+p_dt*(-u_vel!F32*((1-p_theta)*(G32-E32)/(2*p_h)+p_theta*IF(u_vel!F32&gt;0,(F32-E32),(G32-F32))/p_h)-v_vel!F32*((1-p_theta)*(F31-F33)/(2*p_h)+p_theta*IF(v_vel!F32&gt;0,(F32-F33),(F31-F32))/p_h)+p_nu*(G32+E32+F31+F33-4*F32)/p_h^2))</f>
        <v/>
      </c>
      <c r="G32" s="15">
        <f>IF(p_reset=1,0,G32+p_dt*(-u_vel!G32*((1-p_theta)*(H32-F32)/(2*p_h)+p_theta*IF(u_vel!G32&gt;0,(G32-F32),(H32-G32))/p_h)-v_vel!G32*((1-p_theta)*(G31-G33)/(2*p_h)+p_theta*IF(v_vel!G32&gt;0,(G32-G33),(G31-G32))/p_h)+p_nu*(H32+F32+G31+G33-4*G32)/p_h^2))</f>
        <v/>
      </c>
      <c r="H32" s="15">
        <f>IF(p_reset=1,0,H32+p_dt*(-u_vel!H32*((1-p_theta)*(I32-G32)/(2*p_h)+p_theta*IF(u_vel!H32&gt;0,(H32-G32),(I32-H32))/p_h)-v_vel!H32*((1-p_theta)*(H31-H33)/(2*p_h)+p_theta*IF(v_vel!H32&gt;0,(H32-H33),(H31-H32))/p_h)+p_nu*(I32+G32+H31+H33-4*H32)/p_h^2))</f>
        <v/>
      </c>
      <c r="I32" s="15">
        <f>IF(p_reset=1,0,I32+p_dt*(-u_vel!I32*((1-p_theta)*(J32-H32)/(2*p_h)+p_theta*IF(u_vel!I32&gt;0,(I32-H32),(J32-I32))/p_h)-v_vel!I32*((1-p_theta)*(I31-I33)/(2*p_h)+p_theta*IF(v_vel!I32&gt;0,(I32-I33),(I31-I32))/p_h)+p_nu*(J32+H32+I31+I33-4*I32)/p_h^2))</f>
        <v/>
      </c>
      <c r="J32" s="15">
        <f>IF(p_reset=1,0,J32+p_dt*(-u_vel!J32*((1-p_theta)*(K32-I32)/(2*p_h)+p_theta*IF(u_vel!J32&gt;0,(J32-I32),(K32-J32))/p_h)-v_vel!J32*((1-p_theta)*(J31-J33)/(2*p_h)+p_theta*IF(v_vel!J32&gt;0,(J32-J33),(J31-J32))/p_h)+p_nu*(K32+I32+J31+J33-4*J32)/p_h^2))</f>
        <v/>
      </c>
      <c r="K32" s="15">
        <f>IF(p_reset=1,0,K32+p_dt*(-u_vel!K32*((1-p_theta)*(L32-J32)/(2*p_h)+p_theta*IF(u_vel!K32&gt;0,(K32-J32),(L32-K32))/p_h)-v_vel!K32*((1-p_theta)*(K31-K33)/(2*p_h)+p_theta*IF(v_vel!K32&gt;0,(K32-K33),(K31-K32))/p_h)+p_nu*(L32+J32+K31+K33-4*K32)/p_h^2))</f>
        <v/>
      </c>
      <c r="L32" s="15">
        <f>IF(p_reset=1,0,L32+p_dt*(-u_vel!L32*((1-p_theta)*(M32-K32)/(2*p_h)+p_theta*IF(u_vel!L32&gt;0,(L32-K32),(M32-L32))/p_h)-v_vel!L32*((1-p_theta)*(L31-L33)/(2*p_h)+p_theta*IF(v_vel!L32&gt;0,(L32-L33),(L31-L32))/p_h)+p_nu*(M32+K32+L31+L33-4*L32)/p_h^2))</f>
        <v/>
      </c>
      <c r="M32" s="15">
        <f>IF(p_reset=1,0,M32+p_dt*(-u_vel!M32*((1-p_theta)*(N32-L32)/(2*p_h)+p_theta*IF(u_vel!M32&gt;0,(M32-L32),(N32-M32))/p_h)-v_vel!M32*((1-p_theta)*(M31-M33)/(2*p_h)+p_theta*IF(v_vel!M32&gt;0,(M32-M33),(M31-M32))/p_h)+p_nu*(N32+L32+M31+M33-4*M32)/p_h^2))</f>
        <v/>
      </c>
      <c r="N32" s="15">
        <f>IF(p_reset=1,0,N32+p_dt*(-u_vel!N32*((1-p_theta)*(O32-M32)/(2*p_h)+p_theta*IF(u_vel!N32&gt;0,(N32-M32),(O32-N32))/p_h)-v_vel!N32*((1-p_theta)*(N31-N33)/(2*p_h)+p_theta*IF(v_vel!N32&gt;0,(N32-N33),(N31-N32))/p_h)+p_nu*(O32+M32+N31+N33-4*N32)/p_h^2))</f>
        <v/>
      </c>
      <c r="O32" s="15">
        <f>IF(p_reset=1,0,O32+p_dt*(-u_vel!O32*((1-p_theta)*(P32-N32)/(2*p_h)+p_theta*IF(u_vel!O32&gt;0,(O32-N32),(P32-O32))/p_h)-v_vel!O32*((1-p_theta)*(O31-O33)/(2*p_h)+p_theta*IF(v_vel!O32&gt;0,(O32-O33),(O31-O32))/p_h)+p_nu*(P32+N32+O31+O33-4*O32)/p_h^2))</f>
        <v/>
      </c>
      <c r="P32" s="15">
        <f>IF(p_reset=1,0,P32+p_dt*(-u_vel!P32*((1-p_theta)*(Q32-O32)/(2*p_h)+p_theta*IF(u_vel!P32&gt;0,(P32-O32),(Q32-P32))/p_h)-v_vel!P32*((1-p_theta)*(P31-P33)/(2*p_h)+p_theta*IF(v_vel!P32&gt;0,(P32-P33),(P31-P32))/p_h)+p_nu*(Q32+O32+P31+P33-4*P32)/p_h^2))</f>
        <v/>
      </c>
      <c r="Q32" s="15">
        <f>IF(p_reset=1,0,Q32+p_dt*(-u_vel!Q32*((1-p_theta)*(R32-P32)/(2*p_h)+p_theta*IF(u_vel!Q32&gt;0,(Q32-P32),(R32-Q32))/p_h)-v_vel!Q32*((1-p_theta)*(Q31-Q33)/(2*p_h)+p_theta*IF(v_vel!Q32&gt;0,(Q32-Q33),(Q31-Q32))/p_h)+p_nu*(R32+P32+Q31+Q33-4*Q32)/p_h^2))</f>
        <v/>
      </c>
      <c r="R32" s="15">
        <f>IF(p_reset=1,0,R32+p_dt*(-u_vel!R32*((1-p_theta)*(S32-Q32)/(2*p_h)+p_theta*IF(u_vel!R32&gt;0,(R32-Q32),(S32-R32))/p_h)-v_vel!R32*((1-p_theta)*(R31-R33)/(2*p_h)+p_theta*IF(v_vel!R32&gt;0,(R32-R33),(R31-R32))/p_h)+p_nu*(S32+Q32+R31+R33-4*R32)/p_h^2))</f>
        <v/>
      </c>
      <c r="S32" s="15">
        <f>IF(p_reset=1,0,S32+p_dt*(-u_vel!S32*((1-p_theta)*(T32-R32)/(2*p_h)+p_theta*IF(u_vel!S32&gt;0,(S32-R32),(T32-S32))/p_h)-v_vel!S32*((1-p_theta)*(S31-S33)/(2*p_h)+p_theta*IF(v_vel!S32&gt;0,(S32-S33),(S31-S32))/p_h)+p_nu*(T32+R32+S31+S33-4*S32)/p_h^2))</f>
        <v/>
      </c>
      <c r="T32" s="15">
        <f>IF(p_reset=1,0,T32+p_dt*(-u_vel!T32*((1-p_theta)*(U32-S32)/(2*p_h)+p_theta*IF(u_vel!T32&gt;0,(T32-S32),(U32-T32))/p_h)-v_vel!T32*((1-p_theta)*(T31-T33)/(2*p_h)+p_theta*IF(v_vel!T32&gt;0,(T32-T33),(T31-T32))/p_h)+p_nu*(U32+S32+T31+T33-4*T32)/p_h^2))</f>
        <v/>
      </c>
      <c r="U32" s="15">
        <f>IF(p_reset=1,0,U32+p_dt*(-u_vel!U32*((1-p_theta)*(V32-T32)/(2*p_h)+p_theta*IF(u_vel!U32&gt;0,(U32-T32),(V32-U32))/p_h)-v_vel!U32*((1-p_theta)*(U31-U33)/(2*p_h)+p_theta*IF(v_vel!U32&gt;0,(U32-U33),(U31-U32))/p_h)+p_nu*(V32+T32+U31+U33-4*U32)/p_h^2))</f>
        <v/>
      </c>
      <c r="V32" s="15">
        <f>IF(p_reset=1,0,V32+p_dt*(-u_vel!V32*((1-p_theta)*(W32-U32)/(2*p_h)+p_theta*IF(u_vel!V32&gt;0,(V32-U32),(W32-V32))/p_h)-v_vel!V32*((1-p_theta)*(V31-V33)/(2*p_h)+p_theta*IF(v_vel!V32&gt;0,(V32-V33),(V31-V32))/p_h)+p_nu*(W32+U32+V31+V33-4*V32)/p_h^2))</f>
        <v/>
      </c>
      <c r="W32" s="15">
        <f>IF(p_reset=1,0,W32+p_dt*(-u_vel!W32*((1-p_theta)*(X32-V32)/(2*p_h)+p_theta*IF(u_vel!W32&gt;0,(W32-V32),(X32-W32))/p_h)-v_vel!W32*((1-p_theta)*(W31-W33)/(2*p_h)+p_theta*IF(v_vel!W32&gt;0,(W32-W33),(W31-W32))/p_h)+p_nu*(X32+V32+W31+W33-4*W32)/p_h^2))</f>
        <v/>
      </c>
      <c r="X32" s="15">
        <f>IF(p_reset=1,0,X32+p_dt*(-u_vel!X32*((1-p_theta)*(Y32-W32)/(2*p_h)+p_theta*IF(u_vel!X32&gt;0,(X32-W32),(Y32-X32))/p_h)-v_vel!X32*((1-p_theta)*(X31-X33)/(2*p_h)+p_theta*IF(v_vel!X32&gt;0,(X32-X33),(X31-X32))/p_h)+p_nu*(Y32+W32+X31+X33-4*X32)/p_h^2))</f>
        <v/>
      </c>
      <c r="Y32" s="15">
        <f>IF(p_reset=1,0,Y32+p_dt*(-u_vel!Y32*((1-p_theta)*(Z32-X32)/(2*p_h)+p_theta*IF(u_vel!Y32&gt;0,(Y32-X32),(Z32-Y32))/p_h)-v_vel!Y32*((1-p_theta)*(Y31-Y33)/(2*p_h)+p_theta*IF(v_vel!Y32&gt;0,(Y32-Y33),(Y31-Y32))/p_h)+p_nu*(Z32+X32+Y31+Y33-4*Y32)/p_h^2))</f>
        <v/>
      </c>
      <c r="Z32" s="15">
        <f>IF(p_reset=1,0,Z32+p_dt*(-u_vel!Z32*((1-p_theta)*(AA32-Y32)/(2*p_h)+p_theta*IF(u_vel!Z32&gt;0,(Z32-Y32),(AA32-Z32))/p_h)-v_vel!Z32*((1-p_theta)*(Z31-Z33)/(2*p_h)+p_theta*IF(v_vel!Z32&gt;0,(Z32-Z33),(Z31-Z32))/p_h)+p_nu*(AA32+Y32+Z31+Z33-4*Z32)/p_h^2))</f>
        <v/>
      </c>
      <c r="AA32" s="15">
        <f>IF(p_reset=1,0,AA32+p_dt*(-u_vel!AA32*((1-p_theta)*(AB32-Z32)/(2*p_h)+p_theta*IF(u_vel!AA32&gt;0,(AA32-Z32),(AB32-AA32))/p_h)-v_vel!AA32*((1-p_theta)*(AA31-AA33)/(2*p_h)+p_theta*IF(v_vel!AA32&gt;0,(AA32-AA33),(AA31-AA32))/p_h)+p_nu*(AB32+Z32+AA31+AA33-4*AA32)/p_h^2))</f>
        <v/>
      </c>
      <c r="AB32" s="15">
        <f>IF(p_reset=1,0,AB32+p_dt*(-u_vel!AB32*((1-p_theta)*(AC32-AA32)/(2*p_h)+p_theta*IF(u_vel!AB32&gt;0,(AB32-AA32),(AC32-AB32))/p_h)-v_vel!AB32*((1-p_theta)*(AB31-AB33)/(2*p_h)+p_theta*IF(v_vel!AB32&gt;0,(AB32-AB33),(AB31-AB32))/p_h)+p_nu*(AC32+AA32+AB31+AB33-4*AB32)/p_h^2))</f>
        <v/>
      </c>
      <c r="AC32" s="15">
        <f>IF(p_reset=1,0,AC32+p_dt*(-u_vel!AC32*((1-p_theta)*(AD32-AB32)/(2*p_h)+p_theta*IF(u_vel!AC32&gt;0,(AC32-AB32),(AD32-AC32))/p_h)-v_vel!AC32*((1-p_theta)*(AC31-AC33)/(2*p_h)+p_theta*IF(v_vel!AC32&gt;0,(AC32-AC33),(AC31-AC32))/p_h)+p_nu*(AD32+AB32+AC31+AC33-4*AC32)/p_h^2))</f>
        <v/>
      </c>
      <c r="AD32" s="15">
        <f>IF(p_reset=1,0,AD32+p_dt*(-u_vel!AD32*((1-p_theta)*(AE32-AC32)/(2*p_h)+p_theta*IF(u_vel!AD32&gt;0,(AD32-AC32),(AE32-AD32))/p_h)-v_vel!AD32*((1-p_theta)*(AD31-AD33)/(2*p_h)+p_theta*IF(v_vel!AD32&gt;0,(AD32-AD33),(AD31-AD32))/p_h)+p_nu*(AE32+AC32+AD31+AD33-4*AD32)/p_h^2))</f>
        <v/>
      </c>
      <c r="AE32" s="15">
        <f>IF(p_reset=1,0,AE32+p_dt*(-u_vel!AE32*((1-p_theta)*(AF32-AD32)/(2*p_h)+p_theta*IF(u_vel!AE32&gt;0,(AE32-AD32),(AF32-AE32))/p_h)-v_vel!AE32*((1-p_theta)*(AE31-AE33)/(2*p_h)+p_theta*IF(v_vel!AE32&gt;0,(AE32-AE33),(AE31-AE32))/p_h)+p_nu*(AF32+AD32+AE31+AE33-4*AE32)/p_h^2))</f>
        <v/>
      </c>
      <c r="AF32" s="15">
        <f>IF(p_reset=1,0,AF32+p_dt*(-u_vel!AF32*((1-p_theta)*(AG32-AE32)/(2*p_h)+p_theta*IF(u_vel!AF32&gt;0,(AF32-AE32),(AG32-AF32))/p_h)-v_vel!AF32*((1-p_theta)*(AF31-AF33)/(2*p_h)+p_theta*IF(v_vel!AF32&gt;0,(AF32-AF33),(AF31-AF32))/p_h)+p_nu*(AG32+AE32+AF31+AF33-4*AF32)/p_h^2))</f>
        <v/>
      </c>
      <c r="AG32" s="15">
        <f>IF(p_reset=1,0,AG32+p_dt*(-u_vel!AG32*((1-p_theta)*(AH32-AF32)/(2*p_h)+p_theta*IF(u_vel!AG32&gt;0,(AG32-AF32),(AH32-AG32))/p_h)-v_vel!AG32*((1-p_theta)*(AG31-AG33)/(2*p_h)+p_theta*IF(v_vel!AG32&gt;0,(AG32-AG33),(AG31-AG32))/p_h)+p_nu*(AH32+AF32+AG31+AG33-4*AG32)/p_h^2))</f>
        <v/>
      </c>
      <c r="AH32" s="15">
        <f>-2*Psi!AG32/p_h^2</f>
        <v/>
      </c>
    </row>
    <row r="33">
      <c r="A33" s="7">
        <f>A32-p_h</f>
        <v/>
      </c>
      <c r="B33" s="15">
        <f>-2*Psi!C33/p_h^2</f>
        <v/>
      </c>
      <c r="C33" s="15">
        <f>IF(p_reset=1,0,C33+p_dt*(-u_vel!C33*((1-p_theta)*(D33-B33)/(2*p_h)+p_theta*IF(u_vel!C33&gt;0,(C33-B33),(D33-C33))/p_h)-v_vel!C33*((1-p_theta)*(C32-C34)/(2*p_h)+p_theta*IF(v_vel!C33&gt;0,(C33-C34),(C32-C33))/p_h)+p_nu*(D33+B33+C32+C34-4*C33)/p_h^2))</f>
        <v/>
      </c>
      <c r="D33" s="15">
        <f>IF(p_reset=1,0,D33+p_dt*(-u_vel!D33*((1-p_theta)*(E33-C33)/(2*p_h)+p_theta*IF(u_vel!D33&gt;0,(D33-C33),(E33-D33))/p_h)-v_vel!D33*((1-p_theta)*(D32-D34)/(2*p_h)+p_theta*IF(v_vel!D33&gt;0,(D33-D34),(D32-D33))/p_h)+p_nu*(E33+C33+D32+D34-4*D33)/p_h^2))</f>
        <v/>
      </c>
      <c r="E33" s="15">
        <f>IF(p_reset=1,0,E33+p_dt*(-u_vel!E33*((1-p_theta)*(F33-D33)/(2*p_h)+p_theta*IF(u_vel!E33&gt;0,(E33-D33),(F33-E33))/p_h)-v_vel!E33*((1-p_theta)*(E32-E34)/(2*p_h)+p_theta*IF(v_vel!E33&gt;0,(E33-E34),(E32-E33))/p_h)+p_nu*(F33+D33+E32+E34-4*E33)/p_h^2))</f>
        <v/>
      </c>
      <c r="F33" s="15">
        <f>IF(p_reset=1,0,F33+p_dt*(-u_vel!F33*((1-p_theta)*(G33-E33)/(2*p_h)+p_theta*IF(u_vel!F33&gt;0,(F33-E33),(G33-F33))/p_h)-v_vel!F33*((1-p_theta)*(F32-F34)/(2*p_h)+p_theta*IF(v_vel!F33&gt;0,(F33-F34),(F32-F33))/p_h)+p_nu*(G33+E33+F32+F34-4*F33)/p_h^2))</f>
        <v/>
      </c>
      <c r="G33" s="15">
        <f>IF(p_reset=1,0,G33+p_dt*(-u_vel!G33*((1-p_theta)*(H33-F33)/(2*p_h)+p_theta*IF(u_vel!G33&gt;0,(G33-F33),(H33-G33))/p_h)-v_vel!G33*((1-p_theta)*(G32-G34)/(2*p_h)+p_theta*IF(v_vel!G33&gt;0,(G33-G34),(G32-G33))/p_h)+p_nu*(H33+F33+G32+G34-4*G33)/p_h^2))</f>
        <v/>
      </c>
      <c r="H33" s="15">
        <f>IF(p_reset=1,0,H33+p_dt*(-u_vel!H33*((1-p_theta)*(I33-G33)/(2*p_h)+p_theta*IF(u_vel!H33&gt;0,(H33-G33),(I33-H33))/p_h)-v_vel!H33*((1-p_theta)*(H32-H34)/(2*p_h)+p_theta*IF(v_vel!H33&gt;0,(H33-H34),(H32-H33))/p_h)+p_nu*(I33+G33+H32+H34-4*H33)/p_h^2))</f>
        <v/>
      </c>
      <c r="I33" s="15">
        <f>IF(p_reset=1,0,I33+p_dt*(-u_vel!I33*((1-p_theta)*(J33-H33)/(2*p_h)+p_theta*IF(u_vel!I33&gt;0,(I33-H33),(J33-I33))/p_h)-v_vel!I33*((1-p_theta)*(I32-I34)/(2*p_h)+p_theta*IF(v_vel!I33&gt;0,(I33-I34),(I32-I33))/p_h)+p_nu*(J33+H33+I32+I34-4*I33)/p_h^2))</f>
        <v/>
      </c>
      <c r="J33" s="15">
        <f>IF(p_reset=1,0,J33+p_dt*(-u_vel!J33*((1-p_theta)*(K33-I33)/(2*p_h)+p_theta*IF(u_vel!J33&gt;0,(J33-I33),(K33-J33))/p_h)-v_vel!J33*((1-p_theta)*(J32-J34)/(2*p_h)+p_theta*IF(v_vel!J33&gt;0,(J33-J34),(J32-J33))/p_h)+p_nu*(K33+I33+J32+J34-4*J33)/p_h^2))</f>
        <v/>
      </c>
      <c r="K33" s="15">
        <f>IF(p_reset=1,0,K33+p_dt*(-u_vel!K33*((1-p_theta)*(L33-J33)/(2*p_h)+p_theta*IF(u_vel!K33&gt;0,(K33-J33),(L33-K33))/p_h)-v_vel!K33*((1-p_theta)*(K32-K34)/(2*p_h)+p_theta*IF(v_vel!K33&gt;0,(K33-K34),(K32-K33))/p_h)+p_nu*(L33+J33+K32+K34-4*K33)/p_h^2))</f>
        <v/>
      </c>
      <c r="L33" s="15">
        <f>IF(p_reset=1,0,L33+p_dt*(-u_vel!L33*((1-p_theta)*(M33-K33)/(2*p_h)+p_theta*IF(u_vel!L33&gt;0,(L33-K33),(M33-L33))/p_h)-v_vel!L33*((1-p_theta)*(L32-L34)/(2*p_h)+p_theta*IF(v_vel!L33&gt;0,(L33-L34),(L32-L33))/p_h)+p_nu*(M33+K33+L32+L34-4*L33)/p_h^2))</f>
        <v/>
      </c>
      <c r="M33" s="15">
        <f>IF(p_reset=1,0,M33+p_dt*(-u_vel!M33*((1-p_theta)*(N33-L33)/(2*p_h)+p_theta*IF(u_vel!M33&gt;0,(M33-L33),(N33-M33))/p_h)-v_vel!M33*((1-p_theta)*(M32-M34)/(2*p_h)+p_theta*IF(v_vel!M33&gt;0,(M33-M34),(M32-M33))/p_h)+p_nu*(N33+L33+M32+M34-4*M33)/p_h^2))</f>
        <v/>
      </c>
      <c r="N33" s="15">
        <f>IF(p_reset=1,0,N33+p_dt*(-u_vel!N33*((1-p_theta)*(O33-M33)/(2*p_h)+p_theta*IF(u_vel!N33&gt;0,(N33-M33),(O33-N33))/p_h)-v_vel!N33*((1-p_theta)*(N32-N34)/(2*p_h)+p_theta*IF(v_vel!N33&gt;0,(N33-N34),(N32-N33))/p_h)+p_nu*(O33+M33+N32+N34-4*N33)/p_h^2))</f>
        <v/>
      </c>
      <c r="O33" s="15">
        <f>IF(p_reset=1,0,O33+p_dt*(-u_vel!O33*((1-p_theta)*(P33-N33)/(2*p_h)+p_theta*IF(u_vel!O33&gt;0,(O33-N33),(P33-O33))/p_h)-v_vel!O33*((1-p_theta)*(O32-O34)/(2*p_h)+p_theta*IF(v_vel!O33&gt;0,(O33-O34),(O32-O33))/p_h)+p_nu*(P33+N33+O32+O34-4*O33)/p_h^2))</f>
        <v/>
      </c>
      <c r="P33" s="15">
        <f>IF(p_reset=1,0,P33+p_dt*(-u_vel!P33*((1-p_theta)*(Q33-O33)/(2*p_h)+p_theta*IF(u_vel!P33&gt;0,(P33-O33),(Q33-P33))/p_h)-v_vel!P33*((1-p_theta)*(P32-P34)/(2*p_h)+p_theta*IF(v_vel!P33&gt;0,(P33-P34),(P32-P33))/p_h)+p_nu*(Q33+O33+P32+P34-4*P33)/p_h^2))</f>
        <v/>
      </c>
      <c r="Q33" s="15">
        <f>IF(p_reset=1,0,Q33+p_dt*(-u_vel!Q33*((1-p_theta)*(R33-P33)/(2*p_h)+p_theta*IF(u_vel!Q33&gt;0,(Q33-P33),(R33-Q33))/p_h)-v_vel!Q33*((1-p_theta)*(Q32-Q34)/(2*p_h)+p_theta*IF(v_vel!Q33&gt;0,(Q33-Q34),(Q32-Q33))/p_h)+p_nu*(R33+P33+Q32+Q34-4*Q33)/p_h^2))</f>
        <v/>
      </c>
      <c r="R33" s="15">
        <f>IF(p_reset=1,0,R33+p_dt*(-u_vel!R33*((1-p_theta)*(S33-Q33)/(2*p_h)+p_theta*IF(u_vel!R33&gt;0,(R33-Q33),(S33-R33))/p_h)-v_vel!R33*((1-p_theta)*(R32-R34)/(2*p_h)+p_theta*IF(v_vel!R33&gt;0,(R33-R34),(R32-R33))/p_h)+p_nu*(S33+Q33+R32+R34-4*R33)/p_h^2))</f>
        <v/>
      </c>
      <c r="S33" s="15">
        <f>IF(p_reset=1,0,S33+p_dt*(-u_vel!S33*((1-p_theta)*(T33-R33)/(2*p_h)+p_theta*IF(u_vel!S33&gt;0,(S33-R33),(T33-S33))/p_h)-v_vel!S33*((1-p_theta)*(S32-S34)/(2*p_h)+p_theta*IF(v_vel!S33&gt;0,(S33-S34),(S32-S33))/p_h)+p_nu*(T33+R33+S32+S34-4*S33)/p_h^2))</f>
        <v/>
      </c>
      <c r="T33" s="15">
        <f>IF(p_reset=1,0,T33+p_dt*(-u_vel!T33*((1-p_theta)*(U33-S33)/(2*p_h)+p_theta*IF(u_vel!T33&gt;0,(T33-S33),(U33-T33))/p_h)-v_vel!T33*((1-p_theta)*(T32-T34)/(2*p_h)+p_theta*IF(v_vel!T33&gt;0,(T33-T34),(T32-T33))/p_h)+p_nu*(U33+S33+T32+T34-4*T33)/p_h^2))</f>
        <v/>
      </c>
      <c r="U33" s="15">
        <f>IF(p_reset=1,0,U33+p_dt*(-u_vel!U33*((1-p_theta)*(V33-T33)/(2*p_h)+p_theta*IF(u_vel!U33&gt;0,(U33-T33),(V33-U33))/p_h)-v_vel!U33*((1-p_theta)*(U32-U34)/(2*p_h)+p_theta*IF(v_vel!U33&gt;0,(U33-U34),(U32-U33))/p_h)+p_nu*(V33+T33+U32+U34-4*U33)/p_h^2))</f>
        <v/>
      </c>
      <c r="V33" s="15">
        <f>IF(p_reset=1,0,V33+p_dt*(-u_vel!V33*((1-p_theta)*(W33-U33)/(2*p_h)+p_theta*IF(u_vel!V33&gt;0,(V33-U33),(W33-V33))/p_h)-v_vel!V33*((1-p_theta)*(V32-V34)/(2*p_h)+p_theta*IF(v_vel!V33&gt;0,(V33-V34),(V32-V33))/p_h)+p_nu*(W33+U33+V32+V34-4*V33)/p_h^2))</f>
        <v/>
      </c>
      <c r="W33" s="15">
        <f>IF(p_reset=1,0,W33+p_dt*(-u_vel!W33*((1-p_theta)*(X33-V33)/(2*p_h)+p_theta*IF(u_vel!W33&gt;0,(W33-V33),(X33-W33))/p_h)-v_vel!W33*((1-p_theta)*(W32-W34)/(2*p_h)+p_theta*IF(v_vel!W33&gt;0,(W33-W34),(W32-W33))/p_h)+p_nu*(X33+V33+W32+W34-4*W33)/p_h^2))</f>
        <v/>
      </c>
      <c r="X33" s="15">
        <f>IF(p_reset=1,0,X33+p_dt*(-u_vel!X33*((1-p_theta)*(Y33-W33)/(2*p_h)+p_theta*IF(u_vel!X33&gt;0,(X33-W33),(Y33-X33))/p_h)-v_vel!X33*((1-p_theta)*(X32-X34)/(2*p_h)+p_theta*IF(v_vel!X33&gt;0,(X33-X34),(X32-X33))/p_h)+p_nu*(Y33+W33+X32+X34-4*X33)/p_h^2))</f>
        <v/>
      </c>
      <c r="Y33" s="15">
        <f>IF(p_reset=1,0,Y33+p_dt*(-u_vel!Y33*((1-p_theta)*(Z33-X33)/(2*p_h)+p_theta*IF(u_vel!Y33&gt;0,(Y33-X33),(Z33-Y33))/p_h)-v_vel!Y33*((1-p_theta)*(Y32-Y34)/(2*p_h)+p_theta*IF(v_vel!Y33&gt;0,(Y33-Y34),(Y32-Y33))/p_h)+p_nu*(Z33+X33+Y32+Y34-4*Y33)/p_h^2))</f>
        <v/>
      </c>
      <c r="Z33" s="15">
        <f>IF(p_reset=1,0,Z33+p_dt*(-u_vel!Z33*((1-p_theta)*(AA33-Y33)/(2*p_h)+p_theta*IF(u_vel!Z33&gt;0,(Z33-Y33),(AA33-Z33))/p_h)-v_vel!Z33*((1-p_theta)*(Z32-Z34)/(2*p_h)+p_theta*IF(v_vel!Z33&gt;0,(Z33-Z34),(Z32-Z33))/p_h)+p_nu*(AA33+Y33+Z32+Z34-4*Z33)/p_h^2))</f>
        <v/>
      </c>
      <c r="AA33" s="15">
        <f>IF(p_reset=1,0,AA33+p_dt*(-u_vel!AA33*((1-p_theta)*(AB33-Z33)/(2*p_h)+p_theta*IF(u_vel!AA33&gt;0,(AA33-Z33),(AB33-AA33))/p_h)-v_vel!AA33*((1-p_theta)*(AA32-AA34)/(2*p_h)+p_theta*IF(v_vel!AA33&gt;0,(AA33-AA34),(AA32-AA33))/p_h)+p_nu*(AB33+Z33+AA32+AA34-4*AA33)/p_h^2))</f>
        <v/>
      </c>
      <c r="AB33" s="15">
        <f>IF(p_reset=1,0,AB33+p_dt*(-u_vel!AB33*((1-p_theta)*(AC33-AA33)/(2*p_h)+p_theta*IF(u_vel!AB33&gt;0,(AB33-AA33),(AC33-AB33))/p_h)-v_vel!AB33*((1-p_theta)*(AB32-AB34)/(2*p_h)+p_theta*IF(v_vel!AB33&gt;0,(AB33-AB34),(AB32-AB33))/p_h)+p_nu*(AC33+AA33+AB32+AB34-4*AB33)/p_h^2))</f>
        <v/>
      </c>
      <c r="AC33" s="15">
        <f>IF(p_reset=1,0,AC33+p_dt*(-u_vel!AC33*((1-p_theta)*(AD33-AB33)/(2*p_h)+p_theta*IF(u_vel!AC33&gt;0,(AC33-AB33),(AD33-AC33))/p_h)-v_vel!AC33*((1-p_theta)*(AC32-AC34)/(2*p_h)+p_theta*IF(v_vel!AC33&gt;0,(AC33-AC34),(AC32-AC33))/p_h)+p_nu*(AD33+AB33+AC32+AC34-4*AC33)/p_h^2))</f>
        <v/>
      </c>
      <c r="AD33" s="15">
        <f>IF(p_reset=1,0,AD33+p_dt*(-u_vel!AD33*((1-p_theta)*(AE33-AC33)/(2*p_h)+p_theta*IF(u_vel!AD33&gt;0,(AD33-AC33),(AE33-AD33))/p_h)-v_vel!AD33*((1-p_theta)*(AD32-AD34)/(2*p_h)+p_theta*IF(v_vel!AD33&gt;0,(AD33-AD34),(AD32-AD33))/p_h)+p_nu*(AE33+AC33+AD32+AD34-4*AD33)/p_h^2))</f>
        <v/>
      </c>
      <c r="AE33" s="15">
        <f>IF(p_reset=1,0,AE33+p_dt*(-u_vel!AE33*((1-p_theta)*(AF33-AD33)/(2*p_h)+p_theta*IF(u_vel!AE33&gt;0,(AE33-AD33),(AF33-AE33))/p_h)-v_vel!AE33*((1-p_theta)*(AE32-AE34)/(2*p_h)+p_theta*IF(v_vel!AE33&gt;0,(AE33-AE34),(AE32-AE33))/p_h)+p_nu*(AF33+AD33+AE32+AE34-4*AE33)/p_h^2))</f>
        <v/>
      </c>
      <c r="AF33" s="15">
        <f>IF(p_reset=1,0,AF33+p_dt*(-u_vel!AF33*((1-p_theta)*(AG33-AE33)/(2*p_h)+p_theta*IF(u_vel!AF33&gt;0,(AF33-AE33),(AG33-AF33))/p_h)-v_vel!AF33*((1-p_theta)*(AF32-AF34)/(2*p_h)+p_theta*IF(v_vel!AF33&gt;0,(AF33-AF34),(AF32-AF33))/p_h)+p_nu*(AG33+AE33+AF32+AF34-4*AF33)/p_h^2))</f>
        <v/>
      </c>
      <c r="AG33" s="15">
        <f>IF(p_reset=1,0,AG33+p_dt*(-u_vel!AG33*((1-p_theta)*(AH33-AF33)/(2*p_h)+p_theta*IF(u_vel!AG33&gt;0,(AG33-AF33),(AH33-AG33))/p_h)-v_vel!AG33*((1-p_theta)*(AG32-AG34)/(2*p_h)+p_theta*IF(v_vel!AG33&gt;0,(AG33-AG34),(AG32-AG33))/p_h)+p_nu*(AH33+AF33+AG32+AG34-4*AG33)/p_h^2))</f>
        <v/>
      </c>
      <c r="AH33" s="15">
        <f>-2*Psi!AG33/p_h^2</f>
        <v/>
      </c>
    </row>
    <row r="34">
      <c r="A34" s="7">
        <f>A33-p_h</f>
        <v/>
      </c>
      <c r="B34" s="15">
        <f>-2*Psi!C34/p_h^2</f>
        <v/>
      </c>
      <c r="C34" s="15">
        <f>IF(p_reset=1,0,C34+p_dt*(-u_vel!C34*((1-p_theta)*(D34-B34)/(2*p_h)+p_theta*IF(u_vel!C34&gt;0,(C34-B34),(D34-C34))/p_h)-v_vel!C34*((1-p_theta)*(C33-C35)/(2*p_h)+p_theta*IF(v_vel!C34&gt;0,(C34-C35),(C33-C34))/p_h)+p_nu*(D34+B34+C33+C35-4*C34)/p_h^2))</f>
        <v/>
      </c>
      <c r="D34" s="15">
        <f>IF(p_reset=1,0,D34+p_dt*(-u_vel!D34*((1-p_theta)*(E34-C34)/(2*p_h)+p_theta*IF(u_vel!D34&gt;0,(D34-C34),(E34-D34))/p_h)-v_vel!D34*((1-p_theta)*(D33-D35)/(2*p_h)+p_theta*IF(v_vel!D34&gt;0,(D34-D35),(D33-D34))/p_h)+p_nu*(E34+C34+D33+D35-4*D34)/p_h^2))</f>
        <v/>
      </c>
      <c r="E34" s="15">
        <f>IF(p_reset=1,0,E34+p_dt*(-u_vel!E34*((1-p_theta)*(F34-D34)/(2*p_h)+p_theta*IF(u_vel!E34&gt;0,(E34-D34),(F34-E34))/p_h)-v_vel!E34*((1-p_theta)*(E33-E35)/(2*p_h)+p_theta*IF(v_vel!E34&gt;0,(E34-E35),(E33-E34))/p_h)+p_nu*(F34+D34+E33+E35-4*E34)/p_h^2))</f>
        <v/>
      </c>
      <c r="F34" s="15">
        <f>IF(p_reset=1,0,F34+p_dt*(-u_vel!F34*((1-p_theta)*(G34-E34)/(2*p_h)+p_theta*IF(u_vel!F34&gt;0,(F34-E34),(G34-F34))/p_h)-v_vel!F34*((1-p_theta)*(F33-F35)/(2*p_h)+p_theta*IF(v_vel!F34&gt;0,(F34-F35),(F33-F34))/p_h)+p_nu*(G34+E34+F33+F35-4*F34)/p_h^2))</f>
        <v/>
      </c>
      <c r="G34" s="15">
        <f>IF(p_reset=1,0,G34+p_dt*(-u_vel!G34*((1-p_theta)*(H34-F34)/(2*p_h)+p_theta*IF(u_vel!G34&gt;0,(G34-F34),(H34-G34))/p_h)-v_vel!G34*((1-p_theta)*(G33-G35)/(2*p_h)+p_theta*IF(v_vel!G34&gt;0,(G34-G35),(G33-G34))/p_h)+p_nu*(H34+F34+G33+G35-4*G34)/p_h^2))</f>
        <v/>
      </c>
      <c r="H34" s="15">
        <f>IF(p_reset=1,0,H34+p_dt*(-u_vel!H34*((1-p_theta)*(I34-G34)/(2*p_h)+p_theta*IF(u_vel!H34&gt;0,(H34-G34),(I34-H34))/p_h)-v_vel!H34*((1-p_theta)*(H33-H35)/(2*p_h)+p_theta*IF(v_vel!H34&gt;0,(H34-H35),(H33-H34))/p_h)+p_nu*(I34+G34+H33+H35-4*H34)/p_h^2))</f>
        <v/>
      </c>
      <c r="I34" s="15">
        <f>IF(p_reset=1,0,I34+p_dt*(-u_vel!I34*((1-p_theta)*(J34-H34)/(2*p_h)+p_theta*IF(u_vel!I34&gt;0,(I34-H34),(J34-I34))/p_h)-v_vel!I34*((1-p_theta)*(I33-I35)/(2*p_h)+p_theta*IF(v_vel!I34&gt;0,(I34-I35),(I33-I34))/p_h)+p_nu*(J34+H34+I33+I35-4*I34)/p_h^2))</f>
        <v/>
      </c>
      <c r="J34" s="15">
        <f>IF(p_reset=1,0,J34+p_dt*(-u_vel!J34*((1-p_theta)*(K34-I34)/(2*p_h)+p_theta*IF(u_vel!J34&gt;0,(J34-I34),(K34-J34))/p_h)-v_vel!J34*((1-p_theta)*(J33-J35)/(2*p_h)+p_theta*IF(v_vel!J34&gt;0,(J34-J35),(J33-J34))/p_h)+p_nu*(K34+I34+J33+J35-4*J34)/p_h^2))</f>
        <v/>
      </c>
      <c r="K34" s="15">
        <f>IF(p_reset=1,0,K34+p_dt*(-u_vel!K34*((1-p_theta)*(L34-J34)/(2*p_h)+p_theta*IF(u_vel!K34&gt;0,(K34-J34),(L34-K34))/p_h)-v_vel!K34*((1-p_theta)*(K33-K35)/(2*p_h)+p_theta*IF(v_vel!K34&gt;0,(K34-K35),(K33-K34))/p_h)+p_nu*(L34+J34+K33+K35-4*K34)/p_h^2))</f>
        <v/>
      </c>
      <c r="L34" s="15">
        <f>IF(p_reset=1,0,L34+p_dt*(-u_vel!L34*((1-p_theta)*(M34-K34)/(2*p_h)+p_theta*IF(u_vel!L34&gt;0,(L34-K34),(M34-L34))/p_h)-v_vel!L34*((1-p_theta)*(L33-L35)/(2*p_h)+p_theta*IF(v_vel!L34&gt;0,(L34-L35),(L33-L34))/p_h)+p_nu*(M34+K34+L33+L35-4*L34)/p_h^2))</f>
        <v/>
      </c>
      <c r="M34" s="15">
        <f>IF(p_reset=1,0,M34+p_dt*(-u_vel!M34*((1-p_theta)*(N34-L34)/(2*p_h)+p_theta*IF(u_vel!M34&gt;0,(M34-L34),(N34-M34))/p_h)-v_vel!M34*((1-p_theta)*(M33-M35)/(2*p_h)+p_theta*IF(v_vel!M34&gt;0,(M34-M35),(M33-M34))/p_h)+p_nu*(N34+L34+M33+M35-4*M34)/p_h^2))</f>
        <v/>
      </c>
      <c r="N34" s="15">
        <f>IF(p_reset=1,0,N34+p_dt*(-u_vel!N34*((1-p_theta)*(O34-M34)/(2*p_h)+p_theta*IF(u_vel!N34&gt;0,(N34-M34),(O34-N34))/p_h)-v_vel!N34*((1-p_theta)*(N33-N35)/(2*p_h)+p_theta*IF(v_vel!N34&gt;0,(N34-N35),(N33-N34))/p_h)+p_nu*(O34+M34+N33+N35-4*N34)/p_h^2))</f>
        <v/>
      </c>
      <c r="O34" s="15">
        <f>IF(p_reset=1,0,O34+p_dt*(-u_vel!O34*((1-p_theta)*(P34-N34)/(2*p_h)+p_theta*IF(u_vel!O34&gt;0,(O34-N34),(P34-O34))/p_h)-v_vel!O34*((1-p_theta)*(O33-O35)/(2*p_h)+p_theta*IF(v_vel!O34&gt;0,(O34-O35),(O33-O34))/p_h)+p_nu*(P34+N34+O33+O35-4*O34)/p_h^2))</f>
        <v/>
      </c>
      <c r="P34" s="15">
        <f>IF(p_reset=1,0,P34+p_dt*(-u_vel!P34*((1-p_theta)*(Q34-O34)/(2*p_h)+p_theta*IF(u_vel!P34&gt;0,(P34-O34),(Q34-P34))/p_h)-v_vel!P34*((1-p_theta)*(P33-P35)/(2*p_h)+p_theta*IF(v_vel!P34&gt;0,(P34-P35),(P33-P34))/p_h)+p_nu*(Q34+O34+P33+P35-4*P34)/p_h^2))</f>
        <v/>
      </c>
      <c r="Q34" s="15">
        <f>IF(p_reset=1,0,Q34+p_dt*(-u_vel!Q34*((1-p_theta)*(R34-P34)/(2*p_h)+p_theta*IF(u_vel!Q34&gt;0,(Q34-P34),(R34-Q34))/p_h)-v_vel!Q34*((1-p_theta)*(Q33-Q35)/(2*p_h)+p_theta*IF(v_vel!Q34&gt;0,(Q34-Q35),(Q33-Q34))/p_h)+p_nu*(R34+P34+Q33+Q35-4*Q34)/p_h^2))</f>
        <v/>
      </c>
      <c r="R34" s="15">
        <f>IF(p_reset=1,0,R34+p_dt*(-u_vel!R34*((1-p_theta)*(S34-Q34)/(2*p_h)+p_theta*IF(u_vel!R34&gt;0,(R34-Q34),(S34-R34))/p_h)-v_vel!R34*((1-p_theta)*(R33-R35)/(2*p_h)+p_theta*IF(v_vel!R34&gt;0,(R34-R35),(R33-R34))/p_h)+p_nu*(S34+Q34+R33+R35-4*R34)/p_h^2))</f>
        <v/>
      </c>
      <c r="S34" s="15">
        <f>IF(p_reset=1,0,S34+p_dt*(-u_vel!S34*((1-p_theta)*(T34-R34)/(2*p_h)+p_theta*IF(u_vel!S34&gt;0,(S34-R34),(T34-S34))/p_h)-v_vel!S34*((1-p_theta)*(S33-S35)/(2*p_h)+p_theta*IF(v_vel!S34&gt;0,(S34-S35),(S33-S34))/p_h)+p_nu*(T34+R34+S33+S35-4*S34)/p_h^2))</f>
        <v/>
      </c>
      <c r="T34" s="15">
        <f>IF(p_reset=1,0,T34+p_dt*(-u_vel!T34*((1-p_theta)*(U34-S34)/(2*p_h)+p_theta*IF(u_vel!T34&gt;0,(T34-S34),(U34-T34))/p_h)-v_vel!T34*((1-p_theta)*(T33-T35)/(2*p_h)+p_theta*IF(v_vel!T34&gt;0,(T34-T35),(T33-T34))/p_h)+p_nu*(U34+S34+T33+T35-4*T34)/p_h^2))</f>
        <v/>
      </c>
      <c r="U34" s="15">
        <f>IF(p_reset=1,0,U34+p_dt*(-u_vel!U34*((1-p_theta)*(V34-T34)/(2*p_h)+p_theta*IF(u_vel!U34&gt;0,(U34-T34),(V34-U34))/p_h)-v_vel!U34*((1-p_theta)*(U33-U35)/(2*p_h)+p_theta*IF(v_vel!U34&gt;0,(U34-U35),(U33-U34))/p_h)+p_nu*(V34+T34+U33+U35-4*U34)/p_h^2))</f>
        <v/>
      </c>
      <c r="V34" s="15">
        <f>IF(p_reset=1,0,V34+p_dt*(-u_vel!V34*((1-p_theta)*(W34-U34)/(2*p_h)+p_theta*IF(u_vel!V34&gt;0,(V34-U34),(W34-V34))/p_h)-v_vel!V34*((1-p_theta)*(V33-V35)/(2*p_h)+p_theta*IF(v_vel!V34&gt;0,(V34-V35),(V33-V34))/p_h)+p_nu*(W34+U34+V33+V35-4*V34)/p_h^2))</f>
        <v/>
      </c>
      <c r="W34" s="15">
        <f>IF(p_reset=1,0,W34+p_dt*(-u_vel!W34*((1-p_theta)*(X34-V34)/(2*p_h)+p_theta*IF(u_vel!W34&gt;0,(W34-V34),(X34-W34))/p_h)-v_vel!W34*((1-p_theta)*(W33-W35)/(2*p_h)+p_theta*IF(v_vel!W34&gt;0,(W34-W35),(W33-W34))/p_h)+p_nu*(X34+V34+W33+W35-4*W34)/p_h^2))</f>
        <v/>
      </c>
      <c r="X34" s="15">
        <f>IF(p_reset=1,0,X34+p_dt*(-u_vel!X34*((1-p_theta)*(Y34-W34)/(2*p_h)+p_theta*IF(u_vel!X34&gt;0,(X34-W34),(Y34-X34))/p_h)-v_vel!X34*((1-p_theta)*(X33-X35)/(2*p_h)+p_theta*IF(v_vel!X34&gt;0,(X34-X35),(X33-X34))/p_h)+p_nu*(Y34+W34+X33+X35-4*X34)/p_h^2))</f>
        <v/>
      </c>
      <c r="Y34" s="15">
        <f>IF(p_reset=1,0,Y34+p_dt*(-u_vel!Y34*((1-p_theta)*(Z34-X34)/(2*p_h)+p_theta*IF(u_vel!Y34&gt;0,(Y34-X34),(Z34-Y34))/p_h)-v_vel!Y34*((1-p_theta)*(Y33-Y35)/(2*p_h)+p_theta*IF(v_vel!Y34&gt;0,(Y34-Y35),(Y33-Y34))/p_h)+p_nu*(Z34+X34+Y33+Y35-4*Y34)/p_h^2))</f>
        <v/>
      </c>
      <c r="Z34" s="15">
        <f>IF(p_reset=1,0,Z34+p_dt*(-u_vel!Z34*((1-p_theta)*(AA34-Y34)/(2*p_h)+p_theta*IF(u_vel!Z34&gt;0,(Z34-Y34),(AA34-Z34))/p_h)-v_vel!Z34*((1-p_theta)*(Z33-Z35)/(2*p_h)+p_theta*IF(v_vel!Z34&gt;0,(Z34-Z35),(Z33-Z34))/p_h)+p_nu*(AA34+Y34+Z33+Z35-4*Z34)/p_h^2))</f>
        <v/>
      </c>
      <c r="AA34" s="15">
        <f>IF(p_reset=1,0,AA34+p_dt*(-u_vel!AA34*((1-p_theta)*(AB34-Z34)/(2*p_h)+p_theta*IF(u_vel!AA34&gt;0,(AA34-Z34),(AB34-AA34))/p_h)-v_vel!AA34*((1-p_theta)*(AA33-AA35)/(2*p_h)+p_theta*IF(v_vel!AA34&gt;0,(AA34-AA35),(AA33-AA34))/p_h)+p_nu*(AB34+Z34+AA33+AA35-4*AA34)/p_h^2))</f>
        <v/>
      </c>
      <c r="AB34" s="15">
        <f>IF(p_reset=1,0,AB34+p_dt*(-u_vel!AB34*((1-p_theta)*(AC34-AA34)/(2*p_h)+p_theta*IF(u_vel!AB34&gt;0,(AB34-AA34),(AC34-AB34))/p_h)-v_vel!AB34*((1-p_theta)*(AB33-AB35)/(2*p_h)+p_theta*IF(v_vel!AB34&gt;0,(AB34-AB35),(AB33-AB34))/p_h)+p_nu*(AC34+AA34+AB33+AB35-4*AB34)/p_h^2))</f>
        <v/>
      </c>
      <c r="AC34" s="15">
        <f>IF(p_reset=1,0,AC34+p_dt*(-u_vel!AC34*((1-p_theta)*(AD34-AB34)/(2*p_h)+p_theta*IF(u_vel!AC34&gt;0,(AC34-AB34),(AD34-AC34))/p_h)-v_vel!AC34*((1-p_theta)*(AC33-AC35)/(2*p_h)+p_theta*IF(v_vel!AC34&gt;0,(AC34-AC35),(AC33-AC34))/p_h)+p_nu*(AD34+AB34+AC33+AC35-4*AC34)/p_h^2))</f>
        <v/>
      </c>
      <c r="AD34" s="15">
        <f>IF(p_reset=1,0,AD34+p_dt*(-u_vel!AD34*((1-p_theta)*(AE34-AC34)/(2*p_h)+p_theta*IF(u_vel!AD34&gt;0,(AD34-AC34),(AE34-AD34))/p_h)-v_vel!AD34*((1-p_theta)*(AD33-AD35)/(2*p_h)+p_theta*IF(v_vel!AD34&gt;0,(AD34-AD35),(AD33-AD34))/p_h)+p_nu*(AE34+AC34+AD33+AD35-4*AD34)/p_h^2))</f>
        <v/>
      </c>
      <c r="AE34" s="15">
        <f>IF(p_reset=1,0,AE34+p_dt*(-u_vel!AE34*((1-p_theta)*(AF34-AD34)/(2*p_h)+p_theta*IF(u_vel!AE34&gt;0,(AE34-AD34),(AF34-AE34))/p_h)-v_vel!AE34*((1-p_theta)*(AE33-AE35)/(2*p_h)+p_theta*IF(v_vel!AE34&gt;0,(AE34-AE35),(AE33-AE34))/p_h)+p_nu*(AF34+AD34+AE33+AE35-4*AE34)/p_h^2))</f>
        <v/>
      </c>
      <c r="AF34" s="15">
        <f>IF(p_reset=1,0,AF34+p_dt*(-u_vel!AF34*((1-p_theta)*(AG34-AE34)/(2*p_h)+p_theta*IF(u_vel!AF34&gt;0,(AF34-AE34),(AG34-AF34))/p_h)-v_vel!AF34*((1-p_theta)*(AF33-AF35)/(2*p_h)+p_theta*IF(v_vel!AF34&gt;0,(AF34-AF35),(AF33-AF34))/p_h)+p_nu*(AG34+AE34+AF33+AF35-4*AF34)/p_h^2))</f>
        <v/>
      </c>
      <c r="AG34" s="15">
        <f>IF(p_reset=1,0,AG34+p_dt*(-u_vel!AG34*((1-p_theta)*(AH34-AF34)/(2*p_h)+p_theta*IF(u_vel!AG34&gt;0,(AG34-AF34),(AH34-AG34))/p_h)-v_vel!AG34*((1-p_theta)*(AG33-AG35)/(2*p_h)+p_theta*IF(v_vel!AG34&gt;0,(AG34-AG35),(AG33-AG34))/p_h)+p_nu*(AH34+AF34+AG33+AG35-4*AG34)/p_h^2))</f>
        <v/>
      </c>
      <c r="AH34" s="15">
        <f>-2*Psi!AG34/p_h^2</f>
        <v/>
      </c>
    </row>
    <row r="35">
      <c r="A35" s="7">
        <f>A34-p_h</f>
        <v/>
      </c>
      <c r="B35" s="15" t="n">
        <v>0</v>
      </c>
      <c r="C35" s="15">
        <f>-2*Psi!C34/p_h^2</f>
        <v/>
      </c>
      <c r="D35" s="15">
        <f>-2*Psi!D34/p_h^2</f>
        <v/>
      </c>
      <c r="E35" s="15">
        <f>-2*Psi!E34/p_h^2</f>
        <v/>
      </c>
      <c r="F35" s="15">
        <f>-2*Psi!F34/p_h^2</f>
        <v/>
      </c>
      <c r="G35" s="15">
        <f>-2*Psi!G34/p_h^2</f>
        <v/>
      </c>
      <c r="H35" s="15">
        <f>-2*Psi!H34/p_h^2</f>
        <v/>
      </c>
      <c r="I35" s="15">
        <f>-2*Psi!I34/p_h^2</f>
        <v/>
      </c>
      <c r="J35" s="15">
        <f>-2*Psi!J34/p_h^2</f>
        <v/>
      </c>
      <c r="K35" s="15">
        <f>-2*Psi!K34/p_h^2</f>
        <v/>
      </c>
      <c r="L35" s="15">
        <f>-2*Psi!L34/p_h^2</f>
        <v/>
      </c>
      <c r="M35" s="15">
        <f>-2*Psi!M34/p_h^2</f>
        <v/>
      </c>
      <c r="N35" s="15">
        <f>-2*Psi!N34/p_h^2</f>
        <v/>
      </c>
      <c r="O35" s="15">
        <f>-2*Psi!O34/p_h^2</f>
        <v/>
      </c>
      <c r="P35" s="15">
        <f>-2*Psi!P34/p_h^2</f>
        <v/>
      </c>
      <c r="Q35" s="15">
        <f>-2*Psi!Q34/p_h^2</f>
        <v/>
      </c>
      <c r="R35" s="15">
        <f>-2*Psi!R34/p_h^2</f>
        <v/>
      </c>
      <c r="S35" s="15">
        <f>-2*Psi!S34/p_h^2</f>
        <v/>
      </c>
      <c r="T35" s="15">
        <f>-2*Psi!T34/p_h^2</f>
        <v/>
      </c>
      <c r="U35" s="15">
        <f>-2*Psi!U34/p_h^2</f>
        <v/>
      </c>
      <c r="V35" s="15">
        <f>-2*Psi!V34/p_h^2</f>
        <v/>
      </c>
      <c r="W35" s="15">
        <f>-2*Psi!W34/p_h^2</f>
        <v/>
      </c>
      <c r="X35" s="15">
        <f>-2*Psi!X34/p_h^2</f>
        <v/>
      </c>
      <c r="Y35" s="15">
        <f>-2*Psi!Y34/p_h^2</f>
        <v/>
      </c>
      <c r="Z35" s="15">
        <f>-2*Psi!Z34/p_h^2</f>
        <v/>
      </c>
      <c r="AA35" s="15">
        <f>-2*Psi!AA34/p_h^2</f>
        <v/>
      </c>
      <c r="AB35" s="15">
        <f>-2*Psi!AB34/p_h^2</f>
        <v/>
      </c>
      <c r="AC35" s="15">
        <f>-2*Psi!AC34/p_h^2</f>
        <v/>
      </c>
      <c r="AD35" s="15">
        <f>-2*Psi!AD34/p_h^2</f>
        <v/>
      </c>
      <c r="AE35" s="15">
        <f>-2*Psi!AE34/p_h^2</f>
        <v/>
      </c>
      <c r="AF35" s="15">
        <f>-2*Psi!AF34/p_h^2</f>
        <v/>
      </c>
      <c r="AG35" s="15">
        <f>-2*Psi!AG34/p_h^2</f>
        <v/>
      </c>
      <c r="AH35" s="15" t="n">
        <v>0</v>
      </c>
    </row>
  </sheetData>
  <conditionalFormatting sqref="B3:AH35">
    <cfRule type="colorScale" priority="1">
      <colorScale>
        <cfvo type="min"/>
        <cfvo type="num" val="0"/>
        <cfvo type="max"/>
        <color rgb="002C7BB6"/>
        <color rgb="00FFFFFF"/>
        <color rgb="00D7191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</cols>
  <sheetData>
    <row r="1">
      <c r="A1" s="4" t="inlineStr">
        <is>
          <t>Horizontal velocity u</t>
        </is>
      </c>
    </row>
    <row r="2">
      <c r="A2" s="5" t="inlineStr">
        <is>
          <t>y \ x</t>
        </is>
      </c>
      <c r="B2" s="6" t="n">
        <v>0</v>
      </c>
      <c r="C2" s="6">
        <f>B2+p_h</f>
        <v/>
      </c>
      <c r="D2" s="6">
        <f>C2+p_h</f>
        <v/>
      </c>
      <c r="E2" s="6">
        <f>D2+p_h</f>
        <v/>
      </c>
      <c r="F2" s="6">
        <f>E2+p_h</f>
        <v/>
      </c>
      <c r="G2" s="6">
        <f>F2+p_h</f>
        <v/>
      </c>
      <c r="H2" s="6">
        <f>G2+p_h</f>
        <v/>
      </c>
      <c r="I2" s="6">
        <f>H2+p_h</f>
        <v/>
      </c>
      <c r="J2" s="6">
        <f>I2+p_h</f>
        <v/>
      </c>
      <c r="K2" s="6">
        <f>J2+p_h</f>
        <v/>
      </c>
      <c r="L2" s="6">
        <f>K2+p_h</f>
        <v/>
      </c>
      <c r="M2" s="6">
        <f>L2+p_h</f>
        <v/>
      </c>
      <c r="N2" s="6">
        <f>M2+p_h</f>
        <v/>
      </c>
      <c r="O2" s="6">
        <f>N2+p_h</f>
        <v/>
      </c>
      <c r="P2" s="6">
        <f>O2+p_h</f>
        <v/>
      </c>
      <c r="Q2" s="6">
        <f>P2+p_h</f>
        <v/>
      </c>
      <c r="R2" s="6">
        <f>Q2+p_h</f>
        <v/>
      </c>
      <c r="S2" s="6">
        <f>R2+p_h</f>
        <v/>
      </c>
      <c r="T2" s="6">
        <f>S2+p_h</f>
        <v/>
      </c>
      <c r="U2" s="6">
        <f>T2+p_h</f>
        <v/>
      </c>
      <c r="V2" s="6">
        <f>U2+p_h</f>
        <v/>
      </c>
      <c r="W2" s="6">
        <f>V2+p_h</f>
        <v/>
      </c>
      <c r="X2" s="6">
        <f>W2+p_h</f>
        <v/>
      </c>
      <c r="Y2" s="6">
        <f>X2+p_h</f>
        <v/>
      </c>
      <c r="Z2" s="6">
        <f>Y2+p_h</f>
        <v/>
      </c>
      <c r="AA2" s="6">
        <f>Z2+p_h</f>
        <v/>
      </c>
      <c r="AB2" s="6">
        <f>AA2+p_h</f>
        <v/>
      </c>
      <c r="AC2" s="6">
        <f>AB2+p_h</f>
        <v/>
      </c>
      <c r="AD2" s="6">
        <f>AC2+p_h</f>
        <v/>
      </c>
      <c r="AE2" s="6">
        <f>AD2+p_h</f>
        <v/>
      </c>
      <c r="AF2" s="6">
        <f>AE2+p_h</f>
        <v/>
      </c>
      <c r="AG2" s="6">
        <f>AF2+p_h</f>
        <v/>
      </c>
      <c r="AH2" s="6">
        <f>AG2+p_h</f>
        <v/>
      </c>
    </row>
    <row r="3">
      <c r="A3" s="7">
        <f>32*p_h</f>
        <v/>
      </c>
      <c r="B3" s="16">
        <f>p_U</f>
        <v/>
      </c>
      <c r="C3" s="16">
        <f>p_U</f>
        <v/>
      </c>
      <c r="D3" s="16">
        <f>p_U</f>
        <v/>
      </c>
      <c r="E3" s="16">
        <f>p_U</f>
        <v/>
      </c>
      <c r="F3" s="16">
        <f>p_U</f>
        <v/>
      </c>
      <c r="G3" s="16">
        <f>p_U</f>
        <v/>
      </c>
      <c r="H3" s="16">
        <f>p_U</f>
        <v/>
      </c>
      <c r="I3" s="16">
        <f>p_U</f>
        <v/>
      </c>
      <c r="J3" s="16">
        <f>p_U</f>
        <v/>
      </c>
      <c r="K3" s="16">
        <f>p_U</f>
        <v/>
      </c>
      <c r="L3" s="16">
        <f>p_U</f>
        <v/>
      </c>
      <c r="M3" s="16">
        <f>p_U</f>
        <v/>
      </c>
      <c r="N3" s="16">
        <f>p_U</f>
        <v/>
      </c>
      <c r="O3" s="16">
        <f>p_U</f>
        <v/>
      </c>
      <c r="P3" s="16">
        <f>p_U</f>
        <v/>
      </c>
      <c r="Q3" s="16">
        <f>p_U</f>
        <v/>
      </c>
      <c r="R3" s="16">
        <f>p_U</f>
        <v/>
      </c>
      <c r="S3" s="16">
        <f>p_U</f>
        <v/>
      </c>
      <c r="T3" s="16">
        <f>p_U</f>
        <v/>
      </c>
      <c r="U3" s="16">
        <f>p_U</f>
        <v/>
      </c>
      <c r="V3" s="16">
        <f>p_U</f>
        <v/>
      </c>
      <c r="W3" s="16">
        <f>p_U</f>
        <v/>
      </c>
      <c r="X3" s="16">
        <f>p_U</f>
        <v/>
      </c>
      <c r="Y3" s="16">
        <f>p_U</f>
        <v/>
      </c>
      <c r="Z3" s="16">
        <f>p_U</f>
        <v/>
      </c>
      <c r="AA3" s="16">
        <f>p_U</f>
        <v/>
      </c>
      <c r="AB3" s="16">
        <f>p_U</f>
        <v/>
      </c>
      <c r="AC3" s="16">
        <f>p_U</f>
        <v/>
      </c>
      <c r="AD3" s="16">
        <f>p_U</f>
        <v/>
      </c>
      <c r="AE3" s="16">
        <f>p_U</f>
        <v/>
      </c>
      <c r="AF3" s="16">
        <f>p_U</f>
        <v/>
      </c>
      <c r="AG3" s="16">
        <f>p_U</f>
        <v/>
      </c>
      <c r="AH3" s="16">
        <f>p_U</f>
        <v/>
      </c>
    </row>
    <row r="4">
      <c r="A4" s="7">
        <f>A3-p_h</f>
        <v/>
      </c>
      <c r="B4" s="16" t="n">
        <v>0</v>
      </c>
      <c r="C4" s="16">
        <f>(Psi!C3-Psi!C5)/(2*p_h)</f>
        <v/>
      </c>
      <c r="D4" s="16">
        <f>(Psi!D3-Psi!D5)/(2*p_h)</f>
        <v/>
      </c>
      <c r="E4" s="16">
        <f>(Psi!E3-Psi!E5)/(2*p_h)</f>
        <v/>
      </c>
      <c r="F4" s="16">
        <f>(Psi!F3-Psi!F5)/(2*p_h)</f>
        <v/>
      </c>
      <c r="G4" s="16">
        <f>(Psi!G3-Psi!G5)/(2*p_h)</f>
        <v/>
      </c>
      <c r="H4" s="16">
        <f>(Psi!H3-Psi!H5)/(2*p_h)</f>
        <v/>
      </c>
      <c r="I4" s="16">
        <f>(Psi!I3-Psi!I5)/(2*p_h)</f>
        <v/>
      </c>
      <c r="J4" s="16">
        <f>(Psi!J3-Psi!J5)/(2*p_h)</f>
        <v/>
      </c>
      <c r="K4" s="16">
        <f>(Psi!K3-Psi!K5)/(2*p_h)</f>
        <v/>
      </c>
      <c r="L4" s="16">
        <f>(Psi!L3-Psi!L5)/(2*p_h)</f>
        <v/>
      </c>
      <c r="M4" s="16">
        <f>(Psi!M3-Psi!M5)/(2*p_h)</f>
        <v/>
      </c>
      <c r="N4" s="16">
        <f>(Psi!N3-Psi!N5)/(2*p_h)</f>
        <v/>
      </c>
      <c r="O4" s="16">
        <f>(Psi!O3-Psi!O5)/(2*p_h)</f>
        <v/>
      </c>
      <c r="P4" s="16">
        <f>(Psi!P3-Psi!P5)/(2*p_h)</f>
        <v/>
      </c>
      <c r="Q4" s="16">
        <f>(Psi!Q3-Psi!Q5)/(2*p_h)</f>
        <v/>
      </c>
      <c r="R4" s="16">
        <f>(Psi!R3-Psi!R5)/(2*p_h)</f>
        <v/>
      </c>
      <c r="S4" s="16">
        <f>(Psi!S3-Psi!S5)/(2*p_h)</f>
        <v/>
      </c>
      <c r="T4" s="16">
        <f>(Psi!T3-Psi!T5)/(2*p_h)</f>
        <v/>
      </c>
      <c r="U4" s="16">
        <f>(Psi!U3-Psi!U5)/(2*p_h)</f>
        <v/>
      </c>
      <c r="V4" s="16">
        <f>(Psi!V3-Psi!V5)/(2*p_h)</f>
        <v/>
      </c>
      <c r="W4" s="16">
        <f>(Psi!W3-Psi!W5)/(2*p_h)</f>
        <v/>
      </c>
      <c r="X4" s="16">
        <f>(Psi!X3-Psi!X5)/(2*p_h)</f>
        <v/>
      </c>
      <c r="Y4" s="16">
        <f>(Psi!Y3-Psi!Y5)/(2*p_h)</f>
        <v/>
      </c>
      <c r="Z4" s="16">
        <f>(Psi!Z3-Psi!Z5)/(2*p_h)</f>
        <v/>
      </c>
      <c r="AA4" s="16">
        <f>(Psi!AA3-Psi!AA5)/(2*p_h)</f>
        <v/>
      </c>
      <c r="AB4" s="16">
        <f>(Psi!AB3-Psi!AB5)/(2*p_h)</f>
        <v/>
      </c>
      <c r="AC4" s="16">
        <f>(Psi!AC3-Psi!AC5)/(2*p_h)</f>
        <v/>
      </c>
      <c r="AD4" s="16">
        <f>(Psi!AD3-Psi!AD5)/(2*p_h)</f>
        <v/>
      </c>
      <c r="AE4" s="16">
        <f>(Psi!AE3-Psi!AE5)/(2*p_h)</f>
        <v/>
      </c>
      <c r="AF4" s="16">
        <f>(Psi!AF3-Psi!AF5)/(2*p_h)</f>
        <v/>
      </c>
      <c r="AG4" s="16">
        <f>(Psi!AG3-Psi!AG5)/(2*p_h)</f>
        <v/>
      </c>
      <c r="AH4" s="16" t="n">
        <v>0</v>
      </c>
    </row>
    <row r="5">
      <c r="A5" s="7">
        <f>A4-p_h</f>
        <v/>
      </c>
      <c r="B5" s="16" t="n">
        <v>0</v>
      </c>
      <c r="C5" s="16">
        <f>(Psi!C4-Psi!C6)/(2*p_h)</f>
        <v/>
      </c>
      <c r="D5" s="16">
        <f>(Psi!D4-Psi!D6)/(2*p_h)</f>
        <v/>
      </c>
      <c r="E5" s="16">
        <f>(Psi!E4-Psi!E6)/(2*p_h)</f>
        <v/>
      </c>
      <c r="F5" s="16">
        <f>(Psi!F4-Psi!F6)/(2*p_h)</f>
        <v/>
      </c>
      <c r="G5" s="16">
        <f>(Psi!G4-Psi!G6)/(2*p_h)</f>
        <v/>
      </c>
      <c r="H5" s="16">
        <f>(Psi!H4-Psi!H6)/(2*p_h)</f>
        <v/>
      </c>
      <c r="I5" s="16">
        <f>(Psi!I4-Psi!I6)/(2*p_h)</f>
        <v/>
      </c>
      <c r="J5" s="16">
        <f>(Psi!J4-Psi!J6)/(2*p_h)</f>
        <v/>
      </c>
      <c r="K5" s="16">
        <f>(Psi!K4-Psi!K6)/(2*p_h)</f>
        <v/>
      </c>
      <c r="L5" s="16">
        <f>(Psi!L4-Psi!L6)/(2*p_h)</f>
        <v/>
      </c>
      <c r="M5" s="16">
        <f>(Psi!M4-Psi!M6)/(2*p_h)</f>
        <v/>
      </c>
      <c r="N5" s="16">
        <f>(Psi!N4-Psi!N6)/(2*p_h)</f>
        <v/>
      </c>
      <c r="O5" s="16">
        <f>(Psi!O4-Psi!O6)/(2*p_h)</f>
        <v/>
      </c>
      <c r="P5" s="16">
        <f>(Psi!P4-Psi!P6)/(2*p_h)</f>
        <v/>
      </c>
      <c r="Q5" s="16">
        <f>(Psi!Q4-Psi!Q6)/(2*p_h)</f>
        <v/>
      </c>
      <c r="R5" s="16">
        <f>(Psi!R4-Psi!R6)/(2*p_h)</f>
        <v/>
      </c>
      <c r="S5" s="16">
        <f>(Psi!S4-Psi!S6)/(2*p_h)</f>
        <v/>
      </c>
      <c r="T5" s="16">
        <f>(Psi!T4-Psi!T6)/(2*p_h)</f>
        <v/>
      </c>
      <c r="U5" s="16">
        <f>(Psi!U4-Psi!U6)/(2*p_h)</f>
        <v/>
      </c>
      <c r="V5" s="16">
        <f>(Psi!V4-Psi!V6)/(2*p_h)</f>
        <v/>
      </c>
      <c r="W5" s="16">
        <f>(Psi!W4-Psi!W6)/(2*p_h)</f>
        <v/>
      </c>
      <c r="X5" s="16">
        <f>(Psi!X4-Psi!X6)/(2*p_h)</f>
        <v/>
      </c>
      <c r="Y5" s="16">
        <f>(Psi!Y4-Psi!Y6)/(2*p_h)</f>
        <v/>
      </c>
      <c r="Z5" s="16">
        <f>(Psi!Z4-Psi!Z6)/(2*p_h)</f>
        <v/>
      </c>
      <c r="AA5" s="16">
        <f>(Psi!AA4-Psi!AA6)/(2*p_h)</f>
        <v/>
      </c>
      <c r="AB5" s="16">
        <f>(Psi!AB4-Psi!AB6)/(2*p_h)</f>
        <v/>
      </c>
      <c r="AC5" s="16">
        <f>(Psi!AC4-Psi!AC6)/(2*p_h)</f>
        <v/>
      </c>
      <c r="AD5" s="16">
        <f>(Psi!AD4-Psi!AD6)/(2*p_h)</f>
        <v/>
      </c>
      <c r="AE5" s="16">
        <f>(Psi!AE4-Psi!AE6)/(2*p_h)</f>
        <v/>
      </c>
      <c r="AF5" s="16">
        <f>(Psi!AF4-Psi!AF6)/(2*p_h)</f>
        <v/>
      </c>
      <c r="AG5" s="16">
        <f>(Psi!AG4-Psi!AG6)/(2*p_h)</f>
        <v/>
      </c>
      <c r="AH5" s="16" t="n">
        <v>0</v>
      </c>
    </row>
    <row r="6">
      <c r="A6" s="7">
        <f>A5-p_h</f>
        <v/>
      </c>
      <c r="B6" s="16" t="n">
        <v>0</v>
      </c>
      <c r="C6" s="16">
        <f>(Psi!C5-Psi!C7)/(2*p_h)</f>
        <v/>
      </c>
      <c r="D6" s="16">
        <f>(Psi!D5-Psi!D7)/(2*p_h)</f>
        <v/>
      </c>
      <c r="E6" s="16">
        <f>(Psi!E5-Psi!E7)/(2*p_h)</f>
        <v/>
      </c>
      <c r="F6" s="16">
        <f>(Psi!F5-Psi!F7)/(2*p_h)</f>
        <v/>
      </c>
      <c r="G6" s="16">
        <f>(Psi!G5-Psi!G7)/(2*p_h)</f>
        <v/>
      </c>
      <c r="H6" s="16">
        <f>(Psi!H5-Psi!H7)/(2*p_h)</f>
        <v/>
      </c>
      <c r="I6" s="16">
        <f>(Psi!I5-Psi!I7)/(2*p_h)</f>
        <v/>
      </c>
      <c r="J6" s="16">
        <f>(Psi!J5-Psi!J7)/(2*p_h)</f>
        <v/>
      </c>
      <c r="K6" s="16">
        <f>(Psi!K5-Psi!K7)/(2*p_h)</f>
        <v/>
      </c>
      <c r="L6" s="16">
        <f>(Psi!L5-Psi!L7)/(2*p_h)</f>
        <v/>
      </c>
      <c r="M6" s="16">
        <f>(Psi!M5-Psi!M7)/(2*p_h)</f>
        <v/>
      </c>
      <c r="N6" s="16">
        <f>(Psi!N5-Psi!N7)/(2*p_h)</f>
        <v/>
      </c>
      <c r="O6" s="16">
        <f>(Psi!O5-Psi!O7)/(2*p_h)</f>
        <v/>
      </c>
      <c r="P6" s="16">
        <f>(Psi!P5-Psi!P7)/(2*p_h)</f>
        <v/>
      </c>
      <c r="Q6" s="16">
        <f>(Psi!Q5-Psi!Q7)/(2*p_h)</f>
        <v/>
      </c>
      <c r="R6" s="16">
        <f>(Psi!R5-Psi!R7)/(2*p_h)</f>
        <v/>
      </c>
      <c r="S6" s="16">
        <f>(Psi!S5-Psi!S7)/(2*p_h)</f>
        <v/>
      </c>
      <c r="T6" s="16">
        <f>(Psi!T5-Psi!T7)/(2*p_h)</f>
        <v/>
      </c>
      <c r="U6" s="16">
        <f>(Psi!U5-Psi!U7)/(2*p_h)</f>
        <v/>
      </c>
      <c r="V6" s="16">
        <f>(Psi!V5-Psi!V7)/(2*p_h)</f>
        <v/>
      </c>
      <c r="W6" s="16">
        <f>(Psi!W5-Psi!W7)/(2*p_h)</f>
        <v/>
      </c>
      <c r="X6" s="16">
        <f>(Psi!X5-Psi!X7)/(2*p_h)</f>
        <v/>
      </c>
      <c r="Y6" s="16">
        <f>(Psi!Y5-Psi!Y7)/(2*p_h)</f>
        <v/>
      </c>
      <c r="Z6" s="16">
        <f>(Psi!Z5-Psi!Z7)/(2*p_h)</f>
        <v/>
      </c>
      <c r="AA6" s="16">
        <f>(Psi!AA5-Psi!AA7)/(2*p_h)</f>
        <v/>
      </c>
      <c r="AB6" s="16">
        <f>(Psi!AB5-Psi!AB7)/(2*p_h)</f>
        <v/>
      </c>
      <c r="AC6" s="16">
        <f>(Psi!AC5-Psi!AC7)/(2*p_h)</f>
        <v/>
      </c>
      <c r="AD6" s="16">
        <f>(Psi!AD5-Psi!AD7)/(2*p_h)</f>
        <v/>
      </c>
      <c r="AE6" s="16">
        <f>(Psi!AE5-Psi!AE7)/(2*p_h)</f>
        <v/>
      </c>
      <c r="AF6" s="16">
        <f>(Psi!AF5-Psi!AF7)/(2*p_h)</f>
        <v/>
      </c>
      <c r="AG6" s="16">
        <f>(Psi!AG5-Psi!AG7)/(2*p_h)</f>
        <v/>
      </c>
      <c r="AH6" s="16" t="n">
        <v>0</v>
      </c>
    </row>
    <row r="7">
      <c r="A7" s="7">
        <f>A6-p_h</f>
        <v/>
      </c>
      <c r="B7" s="16" t="n">
        <v>0</v>
      </c>
      <c r="C7" s="16">
        <f>(Psi!C6-Psi!C8)/(2*p_h)</f>
        <v/>
      </c>
      <c r="D7" s="16">
        <f>(Psi!D6-Psi!D8)/(2*p_h)</f>
        <v/>
      </c>
      <c r="E7" s="16">
        <f>(Psi!E6-Psi!E8)/(2*p_h)</f>
        <v/>
      </c>
      <c r="F7" s="16">
        <f>(Psi!F6-Psi!F8)/(2*p_h)</f>
        <v/>
      </c>
      <c r="G7" s="16">
        <f>(Psi!G6-Psi!G8)/(2*p_h)</f>
        <v/>
      </c>
      <c r="H7" s="16">
        <f>(Psi!H6-Psi!H8)/(2*p_h)</f>
        <v/>
      </c>
      <c r="I7" s="16">
        <f>(Psi!I6-Psi!I8)/(2*p_h)</f>
        <v/>
      </c>
      <c r="J7" s="16">
        <f>(Psi!J6-Psi!J8)/(2*p_h)</f>
        <v/>
      </c>
      <c r="K7" s="16">
        <f>(Psi!K6-Psi!K8)/(2*p_h)</f>
        <v/>
      </c>
      <c r="L7" s="16">
        <f>(Psi!L6-Psi!L8)/(2*p_h)</f>
        <v/>
      </c>
      <c r="M7" s="16">
        <f>(Psi!M6-Psi!M8)/(2*p_h)</f>
        <v/>
      </c>
      <c r="N7" s="16">
        <f>(Psi!N6-Psi!N8)/(2*p_h)</f>
        <v/>
      </c>
      <c r="O7" s="16">
        <f>(Psi!O6-Psi!O8)/(2*p_h)</f>
        <v/>
      </c>
      <c r="P7" s="16">
        <f>(Psi!P6-Psi!P8)/(2*p_h)</f>
        <v/>
      </c>
      <c r="Q7" s="16">
        <f>(Psi!Q6-Psi!Q8)/(2*p_h)</f>
        <v/>
      </c>
      <c r="R7" s="16">
        <f>(Psi!R6-Psi!R8)/(2*p_h)</f>
        <v/>
      </c>
      <c r="S7" s="16">
        <f>(Psi!S6-Psi!S8)/(2*p_h)</f>
        <v/>
      </c>
      <c r="T7" s="16">
        <f>(Psi!T6-Psi!T8)/(2*p_h)</f>
        <v/>
      </c>
      <c r="U7" s="16">
        <f>(Psi!U6-Psi!U8)/(2*p_h)</f>
        <v/>
      </c>
      <c r="V7" s="16">
        <f>(Psi!V6-Psi!V8)/(2*p_h)</f>
        <v/>
      </c>
      <c r="W7" s="16">
        <f>(Psi!W6-Psi!W8)/(2*p_h)</f>
        <v/>
      </c>
      <c r="X7" s="16">
        <f>(Psi!X6-Psi!X8)/(2*p_h)</f>
        <v/>
      </c>
      <c r="Y7" s="16">
        <f>(Psi!Y6-Psi!Y8)/(2*p_h)</f>
        <v/>
      </c>
      <c r="Z7" s="16">
        <f>(Psi!Z6-Psi!Z8)/(2*p_h)</f>
        <v/>
      </c>
      <c r="AA7" s="16">
        <f>(Psi!AA6-Psi!AA8)/(2*p_h)</f>
        <v/>
      </c>
      <c r="AB7" s="16">
        <f>(Psi!AB6-Psi!AB8)/(2*p_h)</f>
        <v/>
      </c>
      <c r="AC7" s="16">
        <f>(Psi!AC6-Psi!AC8)/(2*p_h)</f>
        <v/>
      </c>
      <c r="AD7" s="16">
        <f>(Psi!AD6-Psi!AD8)/(2*p_h)</f>
        <v/>
      </c>
      <c r="AE7" s="16">
        <f>(Psi!AE6-Psi!AE8)/(2*p_h)</f>
        <v/>
      </c>
      <c r="AF7" s="16">
        <f>(Psi!AF6-Psi!AF8)/(2*p_h)</f>
        <v/>
      </c>
      <c r="AG7" s="16">
        <f>(Psi!AG6-Psi!AG8)/(2*p_h)</f>
        <v/>
      </c>
      <c r="AH7" s="16" t="n">
        <v>0</v>
      </c>
    </row>
    <row r="8">
      <c r="A8" s="7">
        <f>A7-p_h</f>
        <v/>
      </c>
      <c r="B8" s="16" t="n">
        <v>0</v>
      </c>
      <c r="C8" s="16">
        <f>(Psi!C7-Psi!C9)/(2*p_h)</f>
        <v/>
      </c>
      <c r="D8" s="16">
        <f>(Psi!D7-Psi!D9)/(2*p_h)</f>
        <v/>
      </c>
      <c r="E8" s="16">
        <f>(Psi!E7-Psi!E9)/(2*p_h)</f>
        <v/>
      </c>
      <c r="F8" s="16">
        <f>(Psi!F7-Psi!F9)/(2*p_h)</f>
        <v/>
      </c>
      <c r="G8" s="16">
        <f>(Psi!G7-Psi!G9)/(2*p_h)</f>
        <v/>
      </c>
      <c r="H8" s="16">
        <f>(Psi!H7-Psi!H9)/(2*p_h)</f>
        <v/>
      </c>
      <c r="I8" s="16">
        <f>(Psi!I7-Psi!I9)/(2*p_h)</f>
        <v/>
      </c>
      <c r="J8" s="16">
        <f>(Psi!J7-Psi!J9)/(2*p_h)</f>
        <v/>
      </c>
      <c r="K8" s="16">
        <f>(Psi!K7-Psi!K9)/(2*p_h)</f>
        <v/>
      </c>
      <c r="L8" s="16">
        <f>(Psi!L7-Psi!L9)/(2*p_h)</f>
        <v/>
      </c>
      <c r="M8" s="16">
        <f>(Psi!M7-Psi!M9)/(2*p_h)</f>
        <v/>
      </c>
      <c r="N8" s="16">
        <f>(Psi!N7-Psi!N9)/(2*p_h)</f>
        <v/>
      </c>
      <c r="O8" s="16">
        <f>(Psi!O7-Psi!O9)/(2*p_h)</f>
        <v/>
      </c>
      <c r="P8" s="16">
        <f>(Psi!P7-Psi!P9)/(2*p_h)</f>
        <v/>
      </c>
      <c r="Q8" s="16">
        <f>(Psi!Q7-Psi!Q9)/(2*p_h)</f>
        <v/>
      </c>
      <c r="R8" s="16">
        <f>(Psi!R7-Psi!R9)/(2*p_h)</f>
        <v/>
      </c>
      <c r="S8" s="16">
        <f>(Psi!S7-Psi!S9)/(2*p_h)</f>
        <v/>
      </c>
      <c r="T8" s="16">
        <f>(Psi!T7-Psi!T9)/(2*p_h)</f>
        <v/>
      </c>
      <c r="U8" s="16">
        <f>(Psi!U7-Psi!U9)/(2*p_h)</f>
        <v/>
      </c>
      <c r="V8" s="16">
        <f>(Psi!V7-Psi!V9)/(2*p_h)</f>
        <v/>
      </c>
      <c r="W8" s="16">
        <f>(Psi!W7-Psi!W9)/(2*p_h)</f>
        <v/>
      </c>
      <c r="X8" s="16">
        <f>(Psi!X7-Psi!X9)/(2*p_h)</f>
        <v/>
      </c>
      <c r="Y8" s="16">
        <f>(Psi!Y7-Psi!Y9)/(2*p_h)</f>
        <v/>
      </c>
      <c r="Z8" s="16">
        <f>(Psi!Z7-Psi!Z9)/(2*p_h)</f>
        <v/>
      </c>
      <c r="AA8" s="16">
        <f>(Psi!AA7-Psi!AA9)/(2*p_h)</f>
        <v/>
      </c>
      <c r="AB8" s="16">
        <f>(Psi!AB7-Psi!AB9)/(2*p_h)</f>
        <v/>
      </c>
      <c r="AC8" s="16">
        <f>(Psi!AC7-Psi!AC9)/(2*p_h)</f>
        <v/>
      </c>
      <c r="AD8" s="16">
        <f>(Psi!AD7-Psi!AD9)/(2*p_h)</f>
        <v/>
      </c>
      <c r="AE8" s="16">
        <f>(Psi!AE7-Psi!AE9)/(2*p_h)</f>
        <v/>
      </c>
      <c r="AF8" s="16">
        <f>(Psi!AF7-Psi!AF9)/(2*p_h)</f>
        <v/>
      </c>
      <c r="AG8" s="16">
        <f>(Psi!AG7-Psi!AG9)/(2*p_h)</f>
        <v/>
      </c>
      <c r="AH8" s="16" t="n">
        <v>0</v>
      </c>
    </row>
    <row r="9">
      <c r="A9" s="7">
        <f>A8-p_h</f>
        <v/>
      </c>
      <c r="B9" s="16" t="n">
        <v>0</v>
      </c>
      <c r="C9" s="16">
        <f>(Psi!C8-Psi!C10)/(2*p_h)</f>
        <v/>
      </c>
      <c r="D9" s="16">
        <f>(Psi!D8-Psi!D10)/(2*p_h)</f>
        <v/>
      </c>
      <c r="E9" s="16">
        <f>(Psi!E8-Psi!E10)/(2*p_h)</f>
        <v/>
      </c>
      <c r="F9" s="16">
        <f>(Psi!F8-Psi!F10)/(2*p_h)</f>
        <v/>
      </c>
      <c r="G9" s="16">
        <f>(Psi!G8-Psi!G10)/(2*p_h)</f>
        <v/>
      </c>
      <c r="H9" s="16">
        <f>(Psi!H8-Psi!H10)/(2*p_h)</f>
        <v/>
      </c>
      <c r="I9" s="16">
        <f>(Psi!I8-Psi!I10)/(2*p_h)</f>
        <v/>
      </c>
      <c r="J9" s="16">
        <f>(Psi!J8-Psi!J10)/(2*p_h)</f>
        <v/>
      </c>
      <c r="K9" s="16">
        <f>(Psi!K8-Psi!K10)/(2*p_h)</f>
        <v/>
      </c>
      <c r="L9" s="16">
        <f>(Psi!L8-Psi!L10)/(2*p_h)</f>
        <v/>
      </c>
      <c r="M9" s="16">
        <f>(Psi!M8-Psi!M10)/(2*p_h)</f>
        <v/>
      </c>
      <c r="N9" s="16">
        <f>(Psi!N8-Psi!N10)/(2*p_h)</f>
        <v/>
      </c>
      <c r="O9" s="16">
        <f>(Psi!O8-Psi!O10)/(2*p_h)</f>
        <v/>
      </c>
      <c r="P9" s="16">
        <f>(Psi!P8-Psi!P10)/(2*p_h)</f>
        <v/>
      </c>
      <c r="Q9" s="16">
        <f>(Psi!Q8-Psi!Q10)/(2*p_h)</f>
        <v/>
      </c>
      <c r="R9" s="16">
        <f>(Psi!R8-Psi!R10)/(2*p_h)</f>
        <v/>
      </c>
      <c r="S9" s="16">
        <f>(Psi!S8-Psi!S10)/(2*p_h)</f>
        <v/>
      </c>
      <c r="T9" s="16">
        <f>(Psi!T8-Psi!T10)/(2*p_h)</f>
        <v/>
      </c>
      <c r="U9" s="16">
        <f>(Psi!U8-Psi!U10)/(2*p_h)</f>
        <v/>
      </c>
      <c r="V9" s="16">
        <f>(Psi!V8-Psi!V10)/(2*p_h)</f>
        <v/>
      </c>
      <c r="W9" s="16">
        <f>(Psi!W8-Psi!W10)/(2*p_h)</f>
        <v/>
      </c>
      <c r="X9" s="16">
        <f>(Psi!X8-Psi!X10)/(2*p_h)</f>
        <v/>
      </c>
      <c r="Y9" s="16">
        <f>(Psi!Y8-Psi!Y10)/(2*p_h)</f>
        <v/>
      </c>
      <c r="Z9" s="16">
        <f>(Psi!Z8-Psi!Z10)/(2*p_h)</f>
        <v/>
      </c>
      <c r="AA9" s="16">
        <f>(Psi!AA8-Psi!AA10)/(2*p_h)</f>
        <v/>
      </c>
      <c r="AB9" s="16">
        <f>(Psi!AB8-Psi!AB10)/(2*p_h)</f>
        <v/>
      </c>
      <c r="AC9" s="16">
        <f>(Psi!AC8-Psi!AC10)/(2*p_h)</f>
        <v/>
      </c>
      <c r="AD9" s="16">
        <f>(Psi!AD8-Psi!AD10)/(2*p_h)</f>
        <v/>
      </c>
      <c r="AE9" s="16">
        <f>(Psi!AE8-Psi!AE10)/(2*p_h)</f>
        <v/>
      </c>
      <c r="AF9" s="16">
        <f>(Psi!AF8-Psi!AF10)/(2*p_h)</f>
        <v/>
      </c>
      <c r="AG9" s="16">
        <f>(Psi!AG8-Psi!AG10)/(2*p_h)</f>
        <v/>
      </c>
      <c r="AH9" s="16" t="n">
        <v>0</v>
      </c>
    </row>
    <row r="10">
      <c r="A10" s="7">
        <f>A9-p_h</f>
        <v/>
      </c>
      <c r="B10" s="16" t="n">
        <v>0</v>
      </c>
      <c r="C10" s="16">
        <f>(Psi!C9-Psi!C11)/(2*p_h)</f>
        <v/>
      </c>
      <c r="D10" s="16">
        <f>(Psi!D9-Psi!D11)/(2*p_h)</f>
        <v/>
      </c>
      <c r="E10" s="16">
        <f>(Psi!E9-Psi!E11)/(2*p_h)</f>
        <v/>
      </c>
      <c r="F10" s="16">
        <f>(Psi!F9-Psi!F11)/(2*p_h)</f>
        <v/>
      </c>
      <c r="G10" s="16">
        <f>(Psi!G9-Psi!G11)/(2*p_h)</f>
        <v/>
      </c>
      <c r="H10" s="16">
        <f>(Psi!H9-Psi!H11)/(2*p_h)</f>
        <v/>
      </c>
      <c r="I10" s="16">
        <f>(Psi!I9-Psi!I11)/(2*p_h)</f>
        <v/>
      </c>
      <c r="J10" s="16">
        <f>(Psi!J9-Psi!J11)/(2*p_h)</f>
        <v/>
      </c>
      <c r="K10" s="16">
        <f>(Psi!K9-Psi!K11)/(2*p_h)</f>
        <v/>
      </c>
      <c r="L10" s="16">
        <f>(Psi!L9-Psi!L11)/(2*p_h)</f>
        <v/>
      </c>
      <c r="M10" s="16">
        <f>(Psi!M9-Psi!M11)/(2*p_h)</f>
        <v/>
      </c>
      <c r="N10" s="16">
        <f>(Psi!N9-Psi!N11)/(2*p_h)</f>
        <v/>
      </c>
      <c r="O10" s="16">
        <f>(Psi!O9-Psi!O11)/(2*p_h)</f>
        <v/>
      </c>
      <c r="P10" s="16">
        <f>(Psi!P9-Psi!P11)/(2*p_h)</f>
        <v/>
      </c>
      <c r="Q10" s="16">
        <f>(Psi!Q9-Psi!Q11)/(2*p_h)</f>
        <v/>
      </c>
      <c r="R10" s="16">
        <f>(Psi!R9-Psi!R11)/(2*p_h)</f>
        <v/>
      </c>
      <c r="S10" s="16">
        <f>(Psi!S9-Psi!S11)/(2*p_h)</f>
        <v/>
      </c>
      <c r="T10" s="16">
        <f>(Psi!T9-Psi!T11)/(2*p_h)</f>
        <v/>
      </c>
      <c r="U10" s="16">
        <f>(Psi!U9-Psi!U11)/(2*p_h)</f>
        <v/>
      </c>
      <c r="V10" s="16">
        <f>(Psi!V9-Psi!V11)/(2*p_h)</f>
        <v/>
      </c>
      <c r="W10" s="16">
        <f>(Psi!W9-Psi!W11)/(2*p_h)</f>
        <v/>
      </c>
      <c r="X10" s="16">
        <f>(Psi!X9-Psi!X11)/(2*p_h)</f>
        <v/>
      </c>
      <c r="Y10" s="16">
        <f>(Psi!Y9-Psi!Y11)/(2*p_h)</f>
        <v/>
      </c>
      <c r="Z10" s="16">
        <f>(Psi!Z9-Psi!Z11)/(2*p_h)</f>
        <v/>
      </c>
      <c r="AA10" s="16">
        <f>(Psi!AA9-Psi!AA11)/(2*p_h)</f>
        <v/>
      </c>
      <c r="AB10" s="16">
        <f>(Psi!AB9-Psi!AB11)/(2*p_h)</f>
        <v/>
      </c>
      <c r="AC10" s="16">
        <f>(Psi!AC9-Psi!AC11)/(2*p_h)</f>
        <v/>
      </c>
      <c r="AD10" s="16">
        <f>(Psi!AD9-Psi!AD11)/(2*p_h)</f>
        <v/>
      </c>
      <c r="AE10" s="16">
        <f>(Psi!AE9-Psi!AE11)/(2*p_h)</f>
        <v/>
      </c>
      <c r="AF10" s="16">
        <f>(Psi!AF9-Psi!AF11)/(2*p_h)</f>
        <v/>
      </c>
      <c r="AG10" s="16">
        <f>(Psi!AG9-Psi!AG11)/(2*p_h)</f>
        <v/>
      </c>
      <c r="AH10" s="16" t="n">
        <v>0</v>
      </c>
    </row>
    <row r="11">
      <c r="A11" s="7">
        <f>A10-p_h</f>
        <v/>
      </c>
      <c r="B11" s="16" t="n">
        <v>0</v>
      </c>
      <c r="C11" s="16">
        <f>(Psi!C10-Psi!C12)/(2*p_h)</f>
        <v/>
      </c>
      <c r="D11" s="16">
        <f>(Psi!D10-Psi!D12)/(2*p_h)</f>
        <v/>
      </c>
      <c r="E11" s="16">
        <f>(Psi!E10-Psi!E12)/(2*p_h)</f>
        <v/>
      </c>
      <c r="F11" s="16">
        <f>(Psi!F10-Psi!F12)/(2*p_h)</f>
        <v/>
      </c>
      <c r="G11" s="16">
        <f>(Psi!G10-Psi!G12)/(2*p_h)</f>
        <v/>
      </c>
      <c r="H11" s="16">
        <f>(Psi!H10-Psi!H12)/(2*p_h)</f>
        <v/>
      </c>
      <c r="I11" s="16">
        <f>(Psi!I10-Psi!I12)/(2*p_h)</f>
        <v/>
      </c>
      <c r="J11" s="16">
        <f>(Psi!J10-Psi!J12)/(2*p_h)</f>
        <v/>
      </c>
      <c r="K11" s="16">
        <f>(Psi!K10-Psi!K12)/(2*p_h)</f>
        <v/>
      </c>
      <c r="L11" s="16">
        <f>(Psi!L10-Psi!L12)/(2*p_h)</f>
        <v/>
      </c>
      <c r="M11" s="16">
        <f>(Psi!M10-Psi!M12)/(2*p_h)</f>
        <v/>
      </c>
      <c r="N11" s="16">
        <f>(Psi!N10-Psi!N12)/(2*p_h)</f>
        <v/>
      </c>
      <c r="O11" s="16">
        <f>(Psi!O10-Psi!O12)/(2*p_h)</f>
        <v/>
      </c>
      <c r="P11" s="16">
        <f>(Psi!P10-Psi!P12)/(2*p_h)</f>
        <v/>
      </c>
      <c r="Q11" s="16">
        <f>(Psi!Q10-Psi!Q12)/(2*p_h)</f>
        <v/>
      </c>
      <c r="R11" s="16">
        <f>(Psi!R10-Psi!R12)/(2*p_h)</f>
        <v/>
      </c>
      <c r="S11" s="16">
        <f>(Psi!S10-Psi!S12)/(2*p_h)</f>
        <v/>
      </c>
      <c r="T11" s="16">
        <f>(Psi!T10-Psi!T12)/(2*p_h)</f>
        <v/>
      </c>
      <c r="U11" s="16">
        <f>(Psi!U10-Psi!U12)/(2*p_h)</f>
        <v/>
      </c>
      <c r="V11" s="16">
        <f>(Psi!V10-Psi!V12)/(2*p_h)</f>
        <v/>
      </c>
      <c r="W11" s="16">
        <f>(Psi!W10-Psi!W12)/(2*p_h)</f>
        <v/>
      </c>
      <c r="X11" s="16">
        <f>(Psi!X10-Psi!X12)/(2*p_h)</f>
        <v/>
      </c>
      <c r="Y11" s="16">
        <f>(Psi!Y10-Psi!Y12)/(2*p_h)</f>
        <v/>
      </c>
      <c r="Z11" s="16">
        <f>(Psi!Z10-Psi!Z12)/(2*p_h)</f>
        <v/>
      </c>
      <c r="AA11" s="16">
        <f>(Psi!AA10-Psi!AA12)/(2*p_h)</f>
        <v/>
      </c>
      <c r="AB11" s="16">
        <f>(Psi!AB10-Psi!AB12)/(2*p_h)</f>
        <v/>
      </c>
      <c r="AC11" s="16">
        <f>(Psi!AC10-Psi!AC12)/(2*p_h)</f>
        <v/>
      </c>
      <c r="AD11" s="16">
        <f>(Psi!AD10-Psi!AD12)/(2*p_h)</f>
        <v/>
      </c>
      <c r="AE11" s="16">
        <f>(Psi!AE10-Psi!AE12)/(2*p_h)</f>
        <v/>
      </c>
      <c r="AF11" s="16">
        <f>(Psi!AF10-Psi!AF12)/(2*p_h)</f>
        <v/>
      </c>
      <c r="AG11" s="16">
        <f>(Psi!AG10-Psi!AG12)/(2*p_h)</f>
        <v/>
      </c>
      <c r="AH11" s="16" t="n">
        <v>0</v>
      </c>
    </row>
    <row r="12">
      <c r="A12" s="7">
        <f>A11-p_h</f>
        <v/>
      </c>
      <c r="B12" s="16" t="n">
        <v>0</v>
      </c>
      <c r="C12" s="16">
        <f>(Psi!C11-Psi!C13)/(2*p_h)</f>
        <v/>
      </c>
      <c r="D12" s="16">
        <f>(Psi!D11-Psi!D13)/(2*p_h)</f>
        <v/>
      </c>
      <c r="E12" s="16">
        <f>(Psi!E11-Psi!E13)/(2*p_h)</f>
        <v/>
      </c>
      <c r="F12" s="16">
        <f>(Psi!F11-Psi!F13)/(2*p_h)</f>
        <v/>
      </c>
      <c r="G12" s="16">
        <f>(Psi!G11-Psi!G13)/(2*p_h)</f>
        <v/>
      </c>
      <c r="H12" s="16">
        <f>(Psi!H11-Psi!H13)/(2*p_h)</f>
        <v/>
      </c>
      <c r="I12" s="16">
        <f>(Psi!I11-Psi!I13)/(2*p_h)</f>
        <v/>
      </c>
      <c r="J12" s="16">
        <f>(Psi!J11-Psi!J13)/(2*p_h)</f>
        <v/>
      </c>
      <c r="K12" s="16">
        <f>(Psi!K11-Psi!K13)/(2*p_h)</f>
        <v/>
      </c>
      <c r="L12" s="16">
        <f>(Psi!L11-Psi!L13)/(2*p_h)</f>
        <v/>
      </c>
      <c r="M12" s="16">
        <f>(Psi!M11-Psi!M13)/(2*p_h)</f>
        <v/>
      </c>
      <c r="N12" s="16">
        <f>(Psi!N11-Psi!N13)/(2*p_h)</f>
        <v/>
      </c>
      <c r="O12" s="16">
        <f>(Psi!O11-Psi!O13)/(2*p_h)</f>
        <v/>
      </c>
      <c r="P12" s="16">
        <f>(Psi!P11-Psi!P13)/(2*p_h)</f>
        <v/>
      </c>
      <c r="Q12" s="16">
        <f>(Psi!Q11-Psi!Q13)/(2*p_h)</f>
        <v/>
      </c>
      <c r="R12" s="16">
        <f>(Psi!R11-Psi!R13)/(2*p_h)</f>
        <v/>
      </c>
      <c r="S12" s="16">
        <f>(Psi!S11-Psi!S13)/(2*p_h)</f>
        <v/>
      </c>
      <c r="T12" s="16">
        <f>(Psi!T11-Psi!T13)/(2*p_h)</f>
        <v/>
      </c>
      <c r="U12" s="16">
        <f>(Psi!U11-Psi!U13)/(2*p_h)</f>
        <v/>
      </c>
      <c r="V12" s="16">
        <f>(Psi!V11-Psi!V13)/(2*p_h)</f>
        <v/>
      </c>
      <c r="W12" s="16">
        <f>(Psi!W11-Psi!W13)/(2*p_h)</f>
        <v/>
      </c>
      <c r="X12" s="16">
        <f>(Psi!X11-Psi!X13)/(2*p_h)</f>
        <v/>
      </c>
      <c r="Y12" s="16">
        <f>(Psi!Y11-Psi!Y13)/(2*p_h)</f>
        <v/>
      </c>
      <c r="Z12" s="16">
        <f>(Psi!Z11-Psi!Z13)/(2*p_h)</f>
        <v/>
      </c>
      <c r="AA12" s="16">
        <f>(Psi!AA11-Psi!AA13)/(2*p_h)</f>
        <v/>
      </c>
      <c r="AB12" s="16">
        <f>(Psi!AB11-Psi!AB13)/(2*p_h)</f>
        <v/>
      </c>
      <c r="AC12" s="16">
        <f>(Psi!AC11-Psi!AC13)/(2*p_h)</f>
        <v/>
      </c>
      <c r="AD12" s="16">
        <f>(Psi!AD11-Psi!AD13)/(2*p_h)</f>
        <v/>
      </c>
      <c r="AE12" s="16">
        <f>(Psi!AE11-Psi!AE13)/(2*p_h)</f>
        <v/>
      </c>
      <c r="AF12" s="16">
        <f>(Psi!AF11-Psi!AF13)/(2*p_h)</f>
        <v/>
      </c>
      <c r="AG12" s="16">
        <f>(Psi!AG11-Psi!AG13)/(2*p_h)</f>
        <v/>
      </c>
      <c r="AH12" s="16" t="n">
        <v>0</v>
      </c>
    </row>
    <row r="13">
      <c r="A13" s="7">
        <f>A12-p_h</f>
        <v/>
      </c>
      <c r="B13" s="16" t="n">
        <v>0</v>
      </c>
      <c r="C13" s="16">
        <f>(Psi!C12-Psi!C14)/(2*p_h)</f>
        <v/>
      </c>
      <c r="D13" s="16">
        <f>(Psi!D12-Psi!D14)/(2*p_h)</f>
        <v/>
      </c>
      <c r="E13" s="16">
        <f>(Psi!E12-Psi!E14)/(2*p_h)</f>
        <v/>
      </c>
      <c r="F13" s="16">
        <f>(Psi!F12-Psi!F14)/(2*p_h)</f>
        <v/>
      </c>
      <c r="G13" s="16">
        <f>(Psi!G12-Psi!G14)/(2*p_h)</f>
        <v/>
      </c>
      <c r="H13" s="16">
        <f>(Psi!H12-Psi!H14)/(2*p_h)</f>
        <v/>
      </c>
      <c r="I13" s="16">
        <f>(Psi!I12-Psi!I14)/(2*p_h)</f>
        <v/>
      </c>
      <c r="J13" s="16">
        <f>(Psi!J12-Psi!J14)/(2*p_h)</f>
        <v/>
      </c>
      <c r="K13" s="16">
        <f>(Psi!K12-Psi!K14)/(2*p_h)</f>
        <v/>
      </c>
      <c r="L13" s="16">
        <f>(Psi!L12-Psi!L14)/(2*p_h)</f>
        <v/>
      </c>
      <c r="M13" s="16">
        <f>(Psi!M12-Psi!M14)/(2*p_h)</f>
        <v/>
      </c>
      <c r="N13" s="16">
        <f>(Psi!N12-Psi!N14)/(2*p_h)</f>
        <v/>
      </c>
      <c r="O13" s="16">
        <f>(Psi!O12-Psi!O14)/(2*p_h)</f>
        <v/>
      </c>
      <c r="P13" s="16">
        <f>(Psi!P12-Psi!P14)/(2*p_h)</f>
        <v/>
      </c>
      <c r="Q13" s="16">
        <f>(Psi!Q12-Psi!Q14)/(2*p_h)</f>
        <v/>
      </c>
      <c r="R13" s="16">
        <f>(Psi!R12-Psi!R14)/(2*p_h)</f>
        <v/>
      </c>
      <c r="S13" s="16">
        <f>(Psi!S12-Psi!S14)/(2*p_h)</f>
        <v/>
      </c>
      <c r="T13" s="16">
        <f>(Psi!T12-Psi!T14)/(2*p_h)</f>
        <v/>
      </c>
      <c r="U13" s="16">
        <f>(Psi!U12-Psi!U14)/(2*p_h)</f>
        <v/>
      </c>
      <c r="V13" s="16">
        <f>(Psi!V12-Psi!V14)/(2*p_h)</f>
        <v/>
      </c>
      <c r="W13" s="16">
        <f>(Psi!W12-Psi!W14)/(2*p_h)</f>
        <v/>
      </c>
      <c r="X13" s="16">
        <f>(Psi!X12-Psi!X14)/(2*p_h)</f>
        <v/>
      </c>
      <c r="Y13" s="16">
        <f>(Psi!Y12-Psi!Y14)/(2*p_h)</f>
        <v/>
      </c>
      <c r="Z13" s="16">
        <f>(Psi!Z12-Psi!Z14)/(2*p_h)</f>
        <v/>
      </c>
      <c r="AA13" s="16">
        <f>(Psi!AA12-Psi!AA14)/(2*p_h)</f>
        <v/>
      </c>
      <c r="AB13" s="16">
        <f>(Psi!AB12-Psi!AB14)/(2*p_h)</f>
        <v/>
      </c>
      <c r="AC13" s="16">
        <f>(Psi!AC12-Psi!AC14)/(2*p_h)</f>
        <v/>
      </c>
      <c r="AD13" s="16">
        <f>(Psi!AD12-Psi!AD14)/(2*p_h)</f>
        <v/>
      </c>
      <c r="AE13" s="16">
        <f>(Psi!AE12-Psi!AE14)/(2*p_h)</f>
        <v/>
      </c>
      <c r="AF13" s="16">
        <f>(Psi!AF12-Psi!AF14)/(2*p_h)</f>
        <v/>
      </c>
      <c r="AG13" s="16">
        <f>(Psi!AG12-Psi!AG14)/(2*p_h)</f>
        <v/>
      </c>
      <c r="AH13" s="16" t="n">
        <v>0</v>
      </c>
    </row>
    <row r="14">
      <c r="A14" s="7">
        <f>A13-p_h</f>
        <v/>
      </c>
      <c r="B14" s="16" t="n">
        <v>0</v>
      </c>
      <c r="C14" s="16">
        <f>(Psi!C13-Psi!C15)/(2*p_h)</f>
        <v/>
      </c>
      <c r="D14" s="16">
        <f>(Psi!D13-Psi!D15)/(2*p_h)</f>
        <v/>
      </c>
      <c r="E14" s="16">
        <f>(Psi!E13-Psi!E15)/(2*p_h)</f>
        <v/>
      </c>
      <c r="F14" s="16">
        <f>(Psi!F13-Psi!F15)/(2*p_h)</f>
        <v/>
      </c>
      <c r="G14" s="16">
        <f>(Psi!G13-Psi!G15)/(2*p_h)</f>
        <v/>
      </c>
      <c r="H14" s="16">
        <f>(Psi!H13-Psi!H15)/(2*p_h)</f>
        <v/>
      </c>
      <c r="I14" s="16">
        <f>(Psi!I13-Psi!I15)/(2*p_h)</f>
        <v/>
      </c>
      <c r="J14" s="16">
        <f>(Psi!J13-Psi!J15)/(2*p_h)</f>
        <v/>
      </c>
      <c r="K14" s="16">
        <f>(Psi!K13-Psi!K15)/(2*p_h)</f>
        <v/>
      </c>
      <c r="L14" s="16">
        <f>(Psi!L13-Psi!L15)/(2*p_h)</f>
        <v/>
      </c>
      <c r="M14" s="16">
        <f>(Psi!M13-Psi!M15)/(2*p_h)</f>
        <v/>
      </c>
      <c r="N14" s="16">
        <f>(Psi!N13-Psi!N15)/(2*p_h)</f>
        <v/>
      </c>
      <c r="O14" s="16">
        <f>(Psi!O13-Psi!O15)/(2*p_h)</f>
        <v/>
      </c>
      <c r="P14" s="16">
        <f>(Psi!P13-Psi!P15)/(2*p_h)</f>
        <v/>
      </c>
      <c r="Q14" s="16">
        <f>(Psi!Q13-Psi!Q15)/(2*p_h)</f>
        <v/>
      </c>
      <c r="R14" s="16">
        <f>(Psi!R13-Psi!R15)/(2*p_h)</f>
        <v/>
      </c>
      <c r="S14" s="16">
        <f>(Psi!S13-Psi!S15)/(2*p_h)</f>
        <v/>
      </c>
      <c r="T14" s="16">
        <f>(Psi!T13-Psi!T15)/(2*p_h)</f>
        <v/>
      </c>
      <c r="U14" s="16">
        <f>(Psi!U13-Psi!U15)/(2*p_h)</f>
        <v/>
      </c>
      <c r="V14" s="16">
        <f>(Psi!V13-Psi!V15)/(2*p_h)</f>
        <v/>
      </c>
      <c r="W14" s="16">
        <f>(Psi!W13-Psi!W15)/(2*p_h)</f>
        <v/>
      </c>
      <c r="X14" s="16">
        <f>(Psi!X13-Psi!X15)/(2*p_h)</f>
        <v/>
      </c>
      <c r="Y14" s="16">
        <f>(Psi!Y13-Psi!Y15)/(2*p_h)</f>
        <v/>
      </c>
      <c r="Z14" s="16">
        <f>(Psi!Z13-Psi!Z15)/(2*p_h)</f>
        <v/>
      </c>
      <c r="AA14" s="16">
        <f>(Psi!AA13-Psi!AA15)/(2*p_h)</f>
        <v/>
      </c>
      <c r="AB14" s="16">
        <f>(Psi!AB13-Psi!AB15)/(2*p_h)</f>
        <v/>
      </c>
      <c r="AC14" s="16">
        <f>(Psi!AC13-Psi!AC15)/(2*p_h)</f>
        <v/>
      </c>
      <c r="AD14" s="16">
        <f>(Psi!AD13-Psi!AD15)/(2*p_h)</f>
        <v/>
      </c>
      <c r="AE14" s="16">
        <f>(Psi!AE13-Psi!AE15)/(2*p_h)</f>
        <v/>
      </c>
      <c r="AF14" s="16">
        <f>(Psi!AF13-Psi!AF15)/(2*p_h)</f>
        <v/>
      </c>
      <c r="AG14" s="16">
        <f>(Psi!AG13-Psi!AG15)/(2*p_h)</f>
        <v/>
      </c>
      <c r="AH14" s="16" t="n">
        <v>0</v>
      </c>
    </row>
    <row r="15">
      <c r="A15" s="7">
        <f>A14-p_h</f>
        <v/>
      </c>
      <c r="B15" s="16" t="n">
        <v>0</v>
      </c>
      <c r="C15" s="16">
        <f>(Psi!C14-Psi!C16)/(2*p_h)</f>
        <v/>
      </c>
      <c r="D15" s="16">
        <f>(Psi!D14-Psi!D16)/(2*p_h)</f>
        <v/>
      </c>
      <c r="E15" s="16">
        <f>(Psi!E14-Psi!E16)/(2*p_h)</f>
        <v/>
      </c>
      <c r="F15" s="16">
        <f>(Psi!F14-Psi!F16)/(2*p_h)</f>
        <v/>
      </c>
      <c r="G15" s="16">
        <f>(Psi!G14-Psi!G16)/(2*p_h)</f>
        <v/>
      </c>
      <c r="H15" s="16">
        <f>(Psi!H14-Psi!H16)/(2*p_h)</f>
        <v/>
      </c>
      <c r="I15" s="16">
        <f>(Psi!I14-Psi!I16)/(2*p_h)</f>
        <v/>
      </c>
      <c r="J15" s="16">
        <f>(Psi!J14-Psi!J16)/(2*p_h)</f>
        <v/>
      </c>
      <c r="K15" s="16">
        <f>(Psi!K14-Psi!K16)/(2*p_h)</f>
        <v/>
      </c>
      <c r="L15" s="16">
        <f>(Psi!L14-Psi!L16)/(2*p_h)</f>
        <v/>
      </c>
      <c r="M15" s="16">
        <f>(Psi!M14-Psi!M16)/(2*p_h)</f>
        <v/>
      </c>
      <c r="N15" s="16">
        <f>(Psi!N14-Psi!N16)/(2*p_h)</f>
        <v/>
      </c>
      <c r="O15" s="16">
        <f>(Psi!O14-Psi!O16)/(2*p_h)</f>
        <v/>
      </c>
      <c r="P15" s="16">
        <f>(Psi!P14-Psi!P16)/(2*p_h)</f>
        <v/>
      </c>
      <c r="Q15" s="16">
        <f>(Psi!Q14-Psi!Q16)/(2*p_h)</f>
        <v/>
      </c>
      <c r="R15" s="16">
        <f>(Psi!R14-Psi!R16)/(2*p_h)</f>
        <v/>
      </c>
      <c r="S15" s="16">
        <f>(Psi!S14-Psi!S16)/(2*p_h)</f>
        <v/>
      </c>
      <c r="T15" s="16">
        <f>(Psi!T14-Psi!T16)/(2*p_h)</f>
        <v/>
      </c>
      <c r="U15" s="16">
        <f>(Psi!U14-Psi!U16)/(2*p_h)</f>
        <v/>
      </c>
      <c r="V15" s="16">
        <f>(Psi!V14-Psi!V16)/(2*p_h)</f>
        <v/>
      </c>
      <c r="W15" s="16">
        <f>(Psi!W14-Psi!W16)/(2*p_h)</f>
        <v/>
      </c>
      <c r="X15" s="16">
        <f>(Psi!X14-Psi!X16)/(2*p_h)</f>
        <v/>
      </c>
      <c r="Y15" s="16">
        <f>(Psi!Y14-Psi!Y16)/(2*p_h)</f>
        <v/>
      </c>
      <c r="Z15" s="16">
        <f>(Psi!Z14-Psi!Z16)/(2*p_h)</f>
        <v/>
      </c>
      <c r="AA15" s="16">
        <f>(Psi!AA14-Psi!AA16)/(2*p_h)</f>
        <v/>
      </c>
      <c r="AB15" s="16">
        <f>(Psi!AB14-Psi!AB16)/(2*p_h)</f>
        <v/>
      </c>
      <c r="AC15" s="16">
        <f>(Psi!AC14-Psi!AC16)/(2*p_h)</f>
        <v/>
      </c>
      <c r="AD15" s="16">
        <f>(Psi!AD14-Psi!AD16)/(2*p_h)</f>
        <v/>
      </c>
      <c r="AE15" s="16">
        <f>(Psi!AE14-Psi!AE16)/(2*p_h)</f>
        <v/>
      </c>
      <c r="AF15" s="16">
        <f>(Psi!AF14-Psi!AF16)/(2*p_h)</f>
        <v/>
      </c>
      <c r="AG15" s="16">
        <f>(Psi!AG14-Psi!AG16)/(2*p_h)</f>
        <v/>
      </c>
      <c r="AH15" s="16" t="n">
        <v>0</v>
      </c>
    </row>
    <row r="16">
      <c r="A16" s="7">
        <f>A15-p_h</f>
        <v/>
      </c>
      <c r="B16" s="16" t="n">
        <v>0</v>
      </c>
      <c r="C16" s="16">
        <f>(Psi!C15-Psi!C17)/(2*p_h)</f>
        <v/>
      </c>
      <c r="D16" s="16">
        <f>(Psi!D15-Psi!D17)/(2*p_h)</f>
        <v/>
      </c>
      <c r="E16" s="16">
        <f>(Psi!E15-Psi!E17)/(2*p_h)</f>
        <v/>
      </c>
      <c r="F16" s="16">
        <f>(Psi!F15-Psi!F17)/(2*p_h)</f>
        <v/>
      </c>
      <c r="G16" s="16">
        <f>(Psi!G15-Psi!G17)/(2*p_h)</f>
        <v/>
      </c>
      <c r="H16" s="16">
        <f>(Psi!H15-Psi!H17)/(2*p_h)</f>
        <v/>
      </c>
      <c r="I16" s="16">
        <f>(Psi!I15-Psi!I17)/(2*p_h)</f>
        <v/>
      </c>
      <c r="J16" s="16">
        <f>(Psi!J15-Psi!J17)/(2*p_h)</f>
        <v/>
      </c>
      <c r="K16" s="16">
        <f>(Psi!K15-Psi!K17)/(2*p_h)</f>
        <v/>
      </c>
      <c r="L16" s="16">
        <f>(Psi!L15-Psi!L17)/(2*p_h)</f>
        <v/>
      </c>
      <c r="M16" s="16">
        <f>(Psi!M15-Psi!M17)/(2*p_h)</f>
        <v/>
      </c>
      <c r="N16" s="16">
        <f>(Psi!N15-Psi!N17)/(2*p_h)</f>
        <v/>
      </c>
      <c r="O16" s="16">
        <f>(Psi!O15-Psi!O17)/(2*p_h)</f>
        <v/>
      </c>
      <c r="P16" s="16">
        <f>(Psi!P15-Psi!P17)/(2*p_h)</f>
        <v/>
      </c>
      <c r="Q16" s="16">
        <f>(Psi!Q15-Psi!Q17)/(2*p_h)</f>
        <v/>
      </c>
      <c r="R16" s="16">
        <f>(Psi!R15-Psi!R17)/(2*p_h)</f>
        <v/>
      </c>
      <c r="S16" s="16">
        <f>(Psi!S15-Psi!S17)/(2*p_h)</f>
        <v/>
      </c>
      <c r="T16" s="16">
        <f>(Psi!T15-Psi!T17)/(2*p_h)</f>
        <v/>
      </c>
      <c r="U16" s="16">
        <f>(Psi!U15-Psi!U17)/(2*p_h)</f>
        <v/>
      </c>
      <c r="V16" s="16">
        <f>(Psi!V15-Psi!V17)/(2*p_h)</f>
        <v/>
      </c>
      <c r="W16" s="16">
        <f>(Psi!W15-Psi!W17)/(2*p_h)</f>
        <v/>
      </c>
      <c r="X16" s="16">
        <f>(Psi!X15-Psi!X17)/(2*p_h)</f>
        <v/>
      </c>
      <c r="Y16" s="16">
        <f>(Psi!Y15-Psi!Y17)/(2*p_h)</f>
        <v/>
      </c>
      <c r="Z16" s="16">
        <f>(Psi!Z15-Psi!Z17)/(2*p_h)</f>
        <v/>
      </c>
      <c r="AA16" s="16">
        <f>(Psi!AA15-Psi!AA17)/(2*p_h)</f>
        <v/>
      </c>
      <c r="AB16" s="16">
        <f>(Psi!AB15-Psi!AB17)/(2*p_h)</f>
        <v/>
      </c>
      <c r="AC16" s="16">
        <f>(Psi!AC15-Psi!AC17)/(2*p_h)</f>
        <v/>
      </c>
      <c r="AD16" s="16">
        <f>(Psi!AD15-Psi!AD17)/(2*p_h)</f>
        <v/>
      </c>
      <c r="AE16" s="16">
        <f>(Psi!AE15-Psi!AE17)/(2*p_h)</f>
        <v/>
      </c>
      <c r="AF16" s="16">
        <f>(Psi!AF15-Psi!AF17)/(2*p_h)</f>
        <v/>
      </c>
      <c r="AG16" s="16">
        <f>(Psi!AG15-Psi!AG17)/(2*p_h)</f>
        <v/>
      </c>
      <c r="AH16" s="16" t="n">
        <v>0</v>
      </c>
    </row>
    <row r="17">
      <c r="A17" s="7">
        <f>A16-p_h</f>
        <v/>
      </c>
      <c r="B17" s="16" t="n">
        <v>0</v>
      </c>
      <c r="C17" s="16">
        <f>(Psi!C16-Psi!C18)/(2*p_h)</f>
        <v/>
      </c>
      <c r="D17" s="16">
        <f>(Psi!D16-Psi!D18)/(2*p_h)</f>
        <v/>
      </c>
      <c r="E17" s="16">
        <f>(Psi!E16-Psi!E18)/(2*p_h)</f>
        <v/>
      </c>
      <c r="F17" s="16">
        <f>(Psi!F16-Psi!F18)/(2*p_h)</f>
        <v/>
      </c>
      <c r="G17" s="16">
        <f>(Psi!G16-Psi!G18)/(2*p_h)</f>
        <v/>
      </c>
      <c r="H17" s="16">
        <f>(Psi!H16-Psi!H18)/(2*p_h)</f>
        <v/>
      </c>
      <c r="I17" s="16">
        <f>(Psi!I16-Psi!I18)/(2*p_h)</f>
        <v/>
      </c>
      <c r="J17" s="16">
        <f>(Psi!J16-Psi!J18)/(2*p_h)</f>
        <v/>
      </c>
      <c r="K17" s="16">
        <f>(Psi!K16-Psi!K18)/(2*p_h)</f>
        <v/>
      </c>
      <c r="L17" s="16">
        <f>(Psi!L16-Psi!L18)/(2*p_h)</f>
        <v/>
      </c>
      <c r="M17" s="16">
        <f>(Psi!M16-Psi!M18)/(2*p_h)</f>
        <v/>
      </c>
      <c r="N17" s="16">
        <f>(Psi!N16-Psi!N18)/(2*p_h)</f>
        <v/>
      </c>
      <c r="O17" s="16">
        <f>(Psi!O16-Psi!O18)/(2*p_h)</f>
        <v/>
      </c>
      <c r="P17" s="16">
        <f>(Psi!P16-Psi!P18)/(2*p_h)</f>
        <v/>
      </c>
      <c r="Q17" s="16">
        <f>(Psi!Q16-Psi!Q18)/(2*p_h)</f>
        <v/>
      </c>
      <c r="R17" s="16">
        <f>(Psi!R16-Psi!R18)/(2*p_h)</f>
        <v/>
      </c>
      <c r="S17" s="16">
        <f>(Psi!S16-Psi!S18)/(2*p_h)</f>
        <v/>
      </c>
      <c r="T17" s="16">
        <f>(Psi!T16-Psi!T18)/(2*p_h)</f>
        <v/>
      </c>
      <c r="U17" s="16">
        <f>(Psi!U16-Psi!U18)/(2*p_h)</f>
        <v/>
      </c>
      <c r="V17" s="16">
        <f>(Psi!V16-Psi!V18)/(2*p_h)</f>
        <v/>
      </c>
      <c r="W17" s="16">
        <f>(Psi!W16-Psi!W18)/(2*p_h)</f>
        <v/>
      </c>
      <c r="X17" s="16">
        <f>(Psi!X16-Psi!X18)/(2*p_h)</f>
        <v/>
      </c>
      <c r="Y17" s="16">
        <f>(Psi!Y16-Psi!Y18)/(2*p_h)</f>
        <v/>
      </c>
      <c r="Z17" s="16">
        <f>(Psi!Z16-Psi!Z18)/(2*p_h)</f>
        <v/>
      </c>
      <c r="AA17" s="16">
        <f>(Psi!AA16-Psi!AA18)/(2*p_h)</f>
        <v/>
      </c>
      <c r="AB17" s="16">
        <f>(Psi!AB16-Psi!AB18)/(2*p_h)</f>
        <v/>
      </c>
      <c r="AC17" s="16">
        <f>(Psi!AC16-Psi!AC18)/(2*p_h)</f>
        <v/>
      </c>
      <c r="AD17" s="16">
        <f>(Psi!AD16-Psi!AD18)/(2*p_h)</f>
        <v/>
      </c>
      <c r="AE17" s="16">
        <f>(Psi!AE16-Psi!AE18)/(2*p_h)</f>
        <v/>
      </c>
      <c r="AF17" s="16">
        <f>(Psi!AF16-Psi!AF18)/(2*p_h)</f>
        <v/>
      </c>
      <c r="AG17" s="16">
        <f>(Psi!AG16-Psi!AG18)/(2*p_h)</f>
        <v/>
      </c>
      <c r="AH17" s="16" t="n">
        <v>0</v>
      </c>
    </row>
    <row r="18">
      <c r="A18" s="7">
        <f>A17-p_h</f>
        <v/>
      </c>
      <c r="B18" s="16" t="n">
        <v>0</v>
      </c>
      <c r="C18" s="16">
        <f>(Psi!C17-Psi!C19)/(2*p_h)</f>
        <v/>
      </c>
      <c r="D18" s="16">
        <f>(Psi!D17-Psi!D19)/(2*p_h)</f>
        <v/>
      </c>
      <c r="E18" s="16">
        <f>(Psi!E17-Psi!E19)/(2*p_h)</f>
        <v/>
      </c>
      <c r="F18" s="16">
        <f>(Psi!F17-Psi!F19)/(2*p_h)</f>
        <v/>
      </c>
      <c r="G18" s="16">
        <f>(Psi!G17-Psi!G19)/(2*p_h)</f>
        <v/>
      </c>
      <c r="H18" s="16">
        <f>(Psi!H17-Psi!H19)/(2*p_h)</f>
        <v/>
      </c>
      <c r="I18" s="16">
        <f>(Psi!I17-Psi!I19)/(2*p_h)</f>
        <v/>
      </c>
      <c r="J18" s="16">
        <f>(Psi!J17-Psi!J19)/(2*p_h)</f>
        <v/>
      </c>
      <c r="K18" s="16">
        <f>(Psi!K17-Psi!K19)/(2*p_h)</f>
        <v/>
      </c>
      <c r="L18" s="16">
        <f>(Psi!L17-Psi!L19)/(2*p_h)</f>
        <v/>
      </c>
      <c r="M18" s="16">
        <f>(Psi!M17-Psi!M19)/(2*p_h)</f>
        <v/>
      </c>
      <c r="N18" s="16">
        <f>(Psi!N17-Psi!N19)/(2*p_h)</f>
        <v/>
      </c>
      <c r="O18" s="16">
        <f>(Psi!O17-Psi!O19)/(2*p_h)</f>
        <v/>
      </c>
      <c r="P18" s="16">
        <f>(Psi!P17-Psi!P19)/(2*p_h)</f>
        <v/>
      </c>
      <c r="Q18" s="16">
        <f>(Psi!Q17-Psi!Q19)/(2*p_h)</f>
        <v/>
      </c>
      <c r="R18" s="16">
        <f>(Psi!R17-Psi!R19)/(2*p_h)</f>
        <v/>
      </c>
      <c r="S18" s="16">
        <f>(Psi!S17-Psi!S19)/(2*p_h)</f>
        <v/>
      </c>
      <c r="T18" s="16">
        <f>(Psi!T17-Psi!T19)/(2*p_h)</f>
        <v/>
      </c>
      <c r="U18" s="16">
        <f>(Psi!U17-Psi!U19)/(2*p_h)</f>
        <v/>
      </c>
      <c r="V18" s="16">
        <f>(Psi!V17-Psi!V19)/(2*p_h)</f>
        <v/>
      </c>
      <c r="W18" s="16">
        <f>(Psi!W17-Psi!W19)/(2*p_h)</f>
        <v/>
      </c>
      <c r="X18" s="16">
        <f>(Psi!X17-Psi!X19)/(2*p_h)</f>
        <v/>
      </c>
      <c r="Y18" s="16">
        <f>(Psi!Y17-Psi!Y19)/(2*p_h)</f>
        <v/>
      </c>
      <c r="Z18" s="16">
        <f>(Psi!Z17-Psi!Z19)/(2*p_h)</f>
        <v/>
      </c>
      <c r="AA18" s="16">
        <f>(Psi!AA17-Psi!AA19)/(2*p_h)</f>
        <v/>
      </c>
      <c r="AB18" s="16">
        <f>(Psi!AB17-Psi!AB19)/(2*p_h)</f>
        <v/>
      </c>
      <c r="AC18" s="16">
        <f>(Psi!AC17-Psi!AC19)/(2*p_h)</f>
        <v/>
      </c>
      <c r="AD18" s="16">
        <f>(Psi!AD17-Psi!AD19)/(2*p_h)</f>
        <v/>
      </c>
      <c r="AE18" s="16">
        <f>(Psi!AE17-Psi!AE19)/(2*p_h)</f>
        <v/>
      </c>
      <c r="AF18" s="16">
        <f>(Psi!AF17-Psi!AF19)/(2*p_h)</f>
        <v/>
      </c>
      <c r="AG18" s="16">
        <f>(Psi!AG17-Psi!AG19)/(2*p_h)</f>
        <v/>
      </c>
      <c r="AH18" s="16" t="n">
        <v>0</v>
      </c>
    </row>
    <row r="19">
      <c r="A19" s="7">
        <f>A18-p_h</f>
        <v/>
      </c>
      <c r="B19" s="16" t="n">
        <v>0</v>
      </c>
      <c r="C19" s="16">
        <f>(Psi!C18-Psi!C20)/(2*p_h)</f>
        <v/>
      </c>
      <c r="D19" s="16">
        <f>(Psi!D18-Psi!D20)/(2*p_h)</f>
        <v/>
      </c>
      <c r="E19" s="16">
        <f>(Psi!E18-Psi!E20)/(2*p_h)</f>
        <v/>
      </c>
      <c r="F19" s="16">
        <f>(Psi!F18-Psi!F20)/(2*p_h)</f>
        <v/>
      </c>
      <c r="G19" s="16">
        <f>(Psi!G18-Psi!G20)/(2*p_h)</f>
        <v/>
      </c>
      <c r="H19" s="16">
        <f>(Psi!H18-Psi!H20)/(2*p_h)</f>
        <v/>
      </c>
      <c r="I19" s="16">
        <f>(Psi!I18-Psi!I20)/(2*p_h)</f>
        <v/>
      </c>
      <c r="J19" s="16">
        <f>(Psi!J18-Psi!J20)/(2*p_h)</f>
        <v/>
      </c>
      <c r="K19" s="16">
        <f>(Psi!K18-Psi!K20)/(2*p_h)</f>
        <v/>
      </c>
      <c r="L19" s="16">
        <f>(Psi!L18-Psi!L20)/(2*p_h)</f>
        <v/>
      </c>
      <c r="M19" s="16">
        <f>(Psi!M18-Psi!M20)/(2*p_h)</f>
        <v/>
      </c>
      <c r="N19" s="16">
        <f>(Psi!N18-Psi!N20)/(2*p_h)</f>
        <v/>
      </c>
      <c r="O19" s="16">
        <f>(Psi!O18-Psi!O20)/(2*p_h)</f>
        <v/>
      </c>
      <c r="P19" s="16">
        <f>(Psi!P18-Psi!P20)/(2*p_h)</f>
        <v/>
      </c>
      <c r="Q19" s="16">
        <f>(Psi!Q18-Psi!Q20)/(2*p_h)</f>
        <v/>
      </c>
      <c r="R19" s="16">
        <f>(Psi!R18-Psi!R20)/(2*p_h)</f>
        <v/>
      </c>
      <c r="S19" s="16">
        <f>(Psi!S18-Psi!S20)/(2*p_h)</f>
        <v/>
      </c>
      <c r="T19" s="16">
        <f>(Psi!T18-Psi!T20)/(2*p_h)</f>
        <v/>
      </c>
      <c r="U19" s="16">
        <f>(Psi!U18-Psi!U20)/(2*p_h)</f>
        <v/>
      </c>
      <c r="V19" s="16">
        <f>(Psi!V18-Psi!V20)/(2*p_h)</f>
        <v/>
      </c>
      <c r="W19" s="16">
        <f>(Psi!W18-Psi!W20)/(2*p_h)</f>
        <v/>
      </c>
      <c r="X19" s="16">
        <f>(Psi!X18-Psi!X20)/(2*p_h)</f>
        <v/>
      </c>
      <c r="Y19" s="16">
        <f>(Psi!Y18-Psi!Y20)/(2*p_h)</f>
        <v/>
      </c>
      <c r="Z19" s="16">
        <f>(Psi!Z18-Psi!Z20)/(2*p_h)</f>
        <v/>
      </c>
      <c r="AA19" s="16">
        <f>(Psi!AA18-Psi!AA20)/(2*p_h)</f>
        <v/>
      </c>
      <c r="AB19" s="16">
        <f>(Psi!AB18-Psi!AB20)/(2*p_h)</f>
        <v/>
      </c>
      <c r="AC19" s="16">
        <f>(Psi!AC18-Psi!AC20)/(2*p_h)</f>
        <v/>
      </c>
      <c r="AD19" s="16">
        <f>(Psi!AD18-Psi!AD20)/(2*p_h)</f>
        <v/>
      </c>
      <c r="AE19" s="16">
        <f>(Psi!AE18-Psi!AE20)/(2*p_h)</f>
        <v/>
      </c>
      <c r="AF19" s="16">
        <f>(Psi!AF18-Psi!AF20)/(2*p_h)</f>
        <v/>
      </c>
      <c r="AG19" s="16">
        <f>(Psi!AG18-Psi!AG20)/(2*p_h)</f>
        <v/>
      </c>
      <c r="AH19" s="16" t="n">
        <v>0</v>
      </c>
    </row>
    <row r="20">
      <c r="A20" s="7">
        <f>A19-p_h</f>
        <v/>
      </c>
      <c r="B20" s="16" t="n">
        <v>0</v>
      </c>
      <c r="C20" s="16">
        <f>(Psi!C19-Psi!C21)/(2*p_h)</f>
        <v/>
      </c>
      <c r="D20" s="16">
        <f>(Psi!D19-Psi!D21)/(2*p_h)</f>
        <v/>
      </c>
      <c r="E20" s="16">
        <f>(Psi!E19-Psi!E21)/(2*p_h)</f>
        <v/>
      </c>
      <c r="F20" s="16">
        <f>(Psi!F19-Psi!F21)/(2*p_h)</f>
        <v/>
      </c>
      <c r="G20" s="16">
        <f>(Psi!G19-Psi!G21)/(2*p_h)</f>
        <v/>
      </c>
      <c r="H20" s="16">
        <f>(Psi!H19-Psi!H21)/(2*p_h)</f>
        <v/>
      </c>
      <c r="I20" s="16">
        <f>(Psi!I19-Psi!I21)/(2*p_h)</f>
        <v/>
      </c>
      <c r="J20" s="16">
        <f>(Psi!J19-Psi!J21)/(2*p_h)</f>
        <v/>
      </c>
      <c r="K20" s="16">
        <f>(Psi!K19-Psi!K21)/(2*p_h)</f>
        <v/>
      </c>
      <c r="L20" s="16">
        <f>(Psi!L19-Psi!L21)/(2*p_h)</f>
        <v/>
      </c>
      <c r="M20" s="16">
        <f>(Psi!M19-Psi!M21)/(2*p_h)</f>
        <v/>
      </c>
      <c r="N20" s="16">
        <f>(Psi!N19-Psi!N21)/(2*p_h)</f>
        <v/>
      </c>
      <c r="O20" s="16">
        <f>(Psi!O19-Psi!O21)/(2*p_h)</f>
        <v/>
      </c>
      <c r="P20" s="16">
        <f>(Psi!P19-Psi!P21)/(2*p_h)</f>
        <v/>
      </c>
      <c r="Q20" s="16">
        <f>(Psi!Q19-Psi!Q21)/(2*p_h)</f>
        <v/>
      </c>
      <c r="R20" s="16">
        <f>(Psi!R19-Psi!R21)/(2*p_h)</f>
        <v/>
      </c>
      <c r="S20" s="16">
        <f>(Psi!S19-Psi!S21)/(2*p_h)</f>
        <v/>
      </c>
      <c r="T20" s="16">
        <f>(Psi!T19-Psi!T21)/(2*p_h)</f>
        <v/>
      </c>
      <c r="U20" s="16">
        <f>(Psi!U19-Psi!U21)/(2*p_h)</f>
        <v/>
      </c>
      <c r="V20" s="16">
        <f>(Psi!V19-Psi!V21)/(2*p_h)</f>
        <v/>
      </c>
      <c r="W20" s="16">
        <f>(Psi!W19-Psi!W21)/(2*p_h)</f>
        <v/>
      </c>
      <c r="X20" s="16">
        <f>(Psi!X19-Psi!X21)/(2*p_h)</f>
        <v/>
      </c>
      <c r="Y20" s="16">
        <f>(Psi!Y19-Psi!Y21)/(2*p_h)</f>
        <v/>
      </c>
      <c r="Z20" s="16">
        <f>(Psi!Z19-Psi!Z21)/(2*p_h)</f>
        <v/>
      </c>
      <c r="AA20" s="16">
        <f>(Psi!AA19-Psi!AA21)/(2*p_h)</f>
        <v/>
      </c>
      <c r="AB20" s="16">
        <f>(Psi!AB19-Psi!AB21)/(2*p_h)</f>
        <v/>
      </c>
      <c r="AC20" s="16">
        <f>(Psi!AC19-Psi!AC21)/(2*p_h)</f>
        <v/>
      </c>
      <c r="AD20" s="16">
        <f>(Psi!AD19-Psi!AD21)/(2*p_h)</f>
        <v/>
      </c>
      <c r="AE20" s="16">
        <f>(Psi!AE19-Psi!AE21)/(2*p_h)</f>
        <v/>
      </c>
      <c r="AF20" s="16">
        <f>(Psi!AF19-Psi!AF21)/(2*p_h)</f>
        <v/>
      </c>
      <c r="AG20" s="16">
        <f>(Psi!AG19-Psi!AG21)/(2*p_h)</f>
        <v/>
      </c>
      <c r="AH20" s="16" t="n">
        <v>0</v>
      </c>
    </row>
    <row r="21">
      <c r="A21" s="7">
        <f>A20-p_h</f>
        <v/>
      </c>
      <c r="B21" s="16" t="n">
        <v>0</v>
      </c>
      <c r="C21" s="16">
        <f>(Psi!C20-Psi!C22)/(2*p_h)</f>
        <v/>
      </c>
      <c r="D21" s="16">
        <f>(Psi!D20-Psi!D22)/(2*p_h)</f>
        <v/>
      </c>
      <c r="E21" s="16">
        <f>(Psi!E20-Psi!E22)/(2*p_h)</f>
        <v/>
      </c>
      <c r="F21" s="16">
        <f>(Psi!F20-Psi!F22)/(2*p_h)</f>
        <v/>
      </c>
      <c r="G21" s="16">
        <f>(Psi!G20-Psi!G22)/(2*p_h)</f>
        <v/>
      </c>
      <c r="H21" s="16">
        <f>(Psi!H20-Psi!H22)/(2*p_h)</f>
        <v/>
      </c>
      <c r="I21" s="16">
        <f>(Psi!I20-Psi!I22)/(2*p_h)</f>
        <v/>
      </c>
      <c r="J21" s="16">
        <f>(Psi!J20-Psi!J22)/(2*p_h)</f>
        <v/>
      </c>
      <c r="K21" s="16">
        <f>(Psi!K20-Psi!K22)/(2*p_h)</f>
        <v/>
      </c>
      <c r="L21" s="16">
        <f>(Psi!L20-Psi!L22)/(2*p_h)</f>
        <v/>
      </c>
      <c r="M21" s="16">
        <f>(Psi!M20-Psi!M22)/(2*p_h)</f>
        <v/>
      </c>
      <c r="N21" s="16">
        <f>(Psi!N20-Psi!N22)/(2*p_h)</f>
        <v/>
      </c>
      <c r="O21" s="16">
        <f>(Psi!O20-Psi!O22)/(2*p_h)</f>
        <v/>
      </c>
      <c r="P21" s="16">
        <f>(Psi!P20-Psi!P22)/(2*p_h)</f>
        <v/>
      </c>
      <c r="Q21" s="16">
        <f>(Psi!Q20-Psi!Q22)/(2*p_h)</f>
        <v/>
      </c>
      <c r="R21" s="16">
        <f>(Psi!R20-Psi!R22)/(2*p_h)</f>
        <v/>
      </c>
      <c r="S21" s="16">
        <f>(Psi!S20-Psi!S22)/(2*p_h)</f>
        <v/>
      </c>
      <c r="T21" s="16">
        <f>(Psi!T20-Psi!T22)/(2*p_h)</f>
        <v/>
      </c>
      <c r="U21" s="16">
        <f>(Psi!U20-Psi!U22)/(2*p_h)</f>
        <v/>
      </c>
      <c r="V21" s="16">
        <f>(Psi!V20-Psi!V22)/(2*p_h)</f>
        <v/>
      </c>
      <c r="W21" s="16">
        <f>(Psi!W20-Psi!W22)/(2*p_h)</f>
        <v/>
      </c>
      <c r="X21" s="16">
        <f>(Psi!X20-Psi!X22)/(2*p_h)</f>
        <v/>
      </c>
      <c r="Y21" s="16">
        <f>(Psi!Y20-Psi!Y22)/(2*p_h)</f>
        <v/>
      </c>
      <c r="Z21" s="16">
        <f>(Psi!Z20-Psi!Z22)/(2*p_h)</f>
        <v/>
      </c>
      <c r="AA21" s="16">
        <f>(Psi!AA20-Psi!AA22)/(2*p_h)</f>
        <v/>
      </c>
      <c r="AB21" s="16">
        <f>(Psi!AB20-Psi!AB22)/(2*p_h)</f>
        <v/>
      </c>
      <c r="AC21" s="16">
        <f>(Psi!AC20-Psi!AC22)/(2*p_h)</f>
        <v/>
      </c>
      <c r="AD21" s="16">
        <f>(Psi!AD20-Psi!AD22)/(2*p_h)</f>
        <v/>
      </c>
      <c r="AE21" s="16">
        <f>(Psi!AE20-Psi!AE22)/(2*p_h)</f>
        <v/>
      </c>
      <c r="AF21" s="16">
        <f>(Psi!AF20-Psi!AF22)/(2*p_h)</f>
        <v/>
      </c>
      <c r="AG21" s="16">
        <f>(Psi!AG20-Psi!AG22)/(2*p_h)</f>
        <v/>
      </c>
      <c r="AH21" s="16" t="n">
        <v>0</v>
      </c>
    </row>
    <row r="22">
      <c r="A22" s="7">
        <f>A21-p_h</f>
        <v/>
      </c>
      <c r="B22" s="16" t="n">
        <v>0</v>
      </c>
      <c r="C22" s="16">
        <f>(Psi!C21-Psi!C23)/(2*p_h)</f>
        <v/>
      </c>
      <c r="D22" s="16">
        <f>(Psi!D21-Psi!D23)/(2*p_h)</f>
        <v/>
      </c>
      <c r="E22" s="16">
        <f>(Psi!E21-Psi!E23)/(2*p_h)</f>
        <v/>
      </c>
      <c r="F22" s="16">
        <f>(Psi!F21-Psi!F23)/(2*p_h)</f>
        <v/>
      </c>
      <c r="G22" s="16">
        <f>(Psi!G21-Psi!G23)/(2*p_h)</f>
        <v/>
      </c>
      <c r="H22" s="16">
        <f>(Psi!H21-Psi!H23)/(2*p_h)</f>
        <v/>
      </c>
      <c r="I22" s="16">
        <f>(Psi!I21-Psi!I23)/(2*p_h)</f>
        <v/>
      </c>
      <c r="J22" s="16">
        <f>(Psi!J21-Psi!J23)/(2*p_h)</f>
        <v/>
      </c>
      <c r="K22" s="16">
        <f>(Psi!K21-Psi!K23)/(2*p_h)</f>
        <v/>
      </c>
      <c r="L22" s="16">
        <f>(Psi!L21-Psi!L23)/(2*p_h)</f>
        <v/>
      </c>
      <c r="M22" s="16">
        <f>(Psi!M21-Psi!M23)/(2*p_h)</f>
        <v/>
      </c>
      <c r="N22" s="16">
        <f>(Psi!N21-Psi!N23)/(2*p_h)</f>
        <v/>
      </c>
      <c r="O22" s="16">
        <f>(Psi!O21-Psi!O23)/(2*p_h)</f>
        <v/>
      </c>
      <c r="P22" s="16">
        <f>(Psi!P21-Psi!P23)/(2*p_h)</f>
        <v/>
      </c>
      <c r="Q22" s="16">
        <f>(Psi!Q21-Psi!Q23)/(2*p_h)</f>
        <v/>
      </c>
      <c r="R22" s="16">
        <f>(Psi!R21-Psi!R23)/(2*p_h)</f>
        <v/>
      </c>
      <c r="S22" s="16">
        <f>(Psi!S21-Psi!S23)/(2*p_h)</f>
        <v/>
      </c>
      <c r="T22" s="16">
        <f>(Psi!T21-Psi!T23)/(2*p_h)</f>
        <v/>
      </c>
      <c r="U22" s="16">
        <f>(Psi!U21-Psi!U23)/(2*p_h)</f>
        <v/>
      </c>
      <c r="V22" s="16">
        <f>(Psi!V21-Psi!V23)/(2*p_h)</f>
        <v/>
      </c>
      <c r="W22" s="16">
        <f>(Psi!W21-Psi!W23)/(2*p_h)</f>
        <v/>
      </c>
      <c r="X22" s="16">
        <f>(Psi!X21-Psi!X23)/(2*p_h)</f>
        <v/>
      </c>
      <c r="Y22" s="16">
        <f>(Psi!Y21-Psi!Y23)/(2*p_h)</f>
        <v/>
      </c>
      <c r="Z22" s="16">
        <f>(Psi!Z21-Psi!Z23)/(2*p_h)</f>
        <v/>
      </c>
      <c r="AA22" s="16">
        <f>(Psi!AA21-Psi!AA23)/(2*p_h)</f>
        <v/>
      </c>
      <c r="AB22" s="16">
        <f>(Psi!AB21-Psi!AB23)/(2*p_h)</f>
        <v/>
      </c>
      <c r="AC22" s="16">
        <f>(Psi!AC21-Psi!AC23)/(2*p_h)</f>
        <v/>
      </c>
      <c r="AD22" s="16">
        <f>(Psi!AD21-Psi!AD23)/(2*p_h)</f>
        <v/>
      </c>
      <c r="AE22" s="16">
        <f>(Psi!AE21-Psi!AE23)/(2*p_h)</f>
        <v/>
      </c>
      <c r="AF22" s="16">
        <f>(Psi!AF21-Psi!AF23)/(2*p_h)</f>
        <v/>
      </c>
      <c r="AG22" s="16">
        <f>(Psi!AG21-Psi!AG23)/(2*p_h)</f>
        <v/>
      </c>
      <c r="AH22" s="16" t="n">
        <v>0</v>
      </c>
    </row>
    <row r="23">
      <c r="A23" s="7">
        <f>A22-p_h</f>
        <v/>
      </c>
      <c r="B23" s="16" t="n">
        <v>0</v>
      </c>
      <c r="C23" s="16">
        <f>(Psi!C22-Psi!C24)/(2*p_h)</f>
        <v/>
      </c>
      <c r="D23" s="16">
        <f>(Psi!D22-Psi!D24)/(2*p_h)</f>
        <v/>
      </c>
      <c r="E23" s="16">
        <f>(Psi!E22-Psi!E24)/(2*p_h)</f>
        <v/>
      </c>
      <c r="F23" s="16">
        <f>(Psi!F22-Psi!F24)/(2*p_h)</f>
        <v/>
      </c>
      <c r="G23" s="16">
        <f>(Psi!G22-Psi!G24)/(2*p_h)</f>
        <v/>
      </c>
      <c r="H23" s="16">
        <f>(Psi!H22-Psi!H24)/(2*p_h)</f>
        <v/>
      </c>
      <c r="I23" s="16">
        <f>(Psi!I22-Psi!I24)/(2*p_h)</f>
        <v/>
      </c>
      <c r="J23" s="16">
        <f>(Psi!J22-Psi!J24)/(2*p_h)</f>
        <v/>
      </c>
      <c r="K23" s="16">
        <f>(Psi!K22-Psi!K24)/(2*p_h)</f>
        <v/>
      </c>
      <c r="L23" s="16">
        <f>(Psi!L22-Psi!L24)/(2*p_h)</f>
        <v/>
      </c>
      <c r="M23" s="16">
        <f>(Psi!M22-Psi!M24)/(2*p_h)</f>
        <v/>
      </c>
      <c r="N23" s="16">
        <f>(Psi!N22-Psi!N24)/(2*p_h)</f>
        <v/>
      </c>
      <c r="O23" s="16">
        <f>(Psi!O22-Psi!O24)/(2*p_h)</f>
        <v/>
      </c>
      <c r="P23" s="16">
        <f>(Psi!P22-Psi!P24)/(2*p_h)</f>
        <v/>
      </c>
      <c r="Q23" s="16">
        <f>(Psi!Q22-Psi!Q24)/(2*p_h)</f>
        <v/>
      </c>
      <c r="R23" s="16">
        <f>(Psi!R22-Psi!R24)/(2*p_h)</f>
        <v/>
      </c>
      <c r="S23" s="16">
        <f>(Psi!S22-Psi!S24)/(2*p_h)</f>
        <v/>
      </c>
      <c r="T23" s="16">
        <f>(Psi!T22-Psi!T24)/(2*p_h)</f>
        <v/>
      </c>
      <c r="U23" s="16">
        <f>(Psi!U22-Psi!U24)/(2*p_h)</f>
        <v/>
      </c>
      <c r="V23" s="16">
        <f>(Psi!V22-Psi!V24)/(2*p_h)</f>
        <v/>
      </c>
      <c r="W23" s="16">
        <f>(Psi!W22-Psi!W24)/(2*p_h)</f>
        <v/>
      </c>
      <c r="X23" s="16">
        <f>(Psi!X22-Psi!X24)/(2*p_h)</f>
        <v/>
      </c>
      <c r="Y23" s="16">
        <f>(Psi!Y22-Psi!Y24)/(2*p_h)</f>
        <v/>
      </c>
      <c r="Z23" s="16">
        <f>(Psi!Z22-Psi!Z24)/(2*p_h)</f>
        <v/>
      </c>
      <c r="AA23" s="16">
        <f>(Psi!AA22-Psi!AA24)/(2*p_h)</f>
        <v/>
      </c>
      <c r="AB23" s="16">
        <f>(Psi!AB22-Psi!AB24)/(2*p_h)</f>
        <v/>
      </c>
      <c r="AC23" s="16">
        <f>(Psi!AC22-Psi!AC24)/(2*p_h)</f>
        <v/>
      </c>
      <c r="AD23" s="16">
        <f>(Psi!AD22-Psi!AD24)/(2*p_h)</f>
        <v/>
      </c>
      <c r="AE23" s="16">
        <f>(Psi!AE22-Psi!AE24)/(2*p_h)</f>
        <v/>
      </c>
      <c r="AF23" s="16">
        <f>(Psi!AF22-Psi!AF24)/(2*p_h)</f>
        <v/>
      </c>
      <c r="AG23" s="16">
        <f>(Psi!AG22-Psi!AG24)/(2*p_h)</f>
        <v/>
      </c>
      <c r="AH23" s="16" t="n">
        <v>0</v>
      </c>
    </row>
    <row r="24">
      <c r="A24" s="7">
        <f>A23-p_h</f>
        <v/>
      </c>
      <c r="B24" s="16" t="n">
        <v>0</v>
      </c>
      <c r="C24" s="16">
        <f>(Psi!C23-Psi!C25)/(2*p_h)</f>
        <v/>
      </c>
      <c r="D24" s="16">
        <f>(Psi!D23-Psi!D25)/(2*p_h)</f>
        <v/>
      </c>
      <c r="E24" s="16">
        <f>(Psi!E23-Psi!E25)/(2*p_h)</f>
        <v/>
      </c>
      <c r="F24" s="16">
        <f>(Psi!F23-Psi!F25)/(2*p_h)</f>
        <v/>
      </c>
      <c r="G24" s="16">
        <f>(Psi!G23-Psi!G25)/(2*p_h)</f>
        <v/>
      </c>
      <c r="H24" s="16">
        <f>(Psi!H23-Psi!H25)/(2*p_h)</f>
        <v/>
      </c>
      <c r="I24" s="16">
        <f>(Psi!I23-Psi!I25)/(2*p_h)</f>
        <v/>
      </c>
      <c r="J24" s="16">
        <f>(Psi!J23-Psi!J25)/(2*p_h)</f>
        <v/>
      </c>
      <c r="K24" s="16">
        <f>(Psi!K23-Psi!K25)/(2*p_h)</f>
        <v/>
      </c>
      <c r="L24" s="16">
        <f>(Psi!L23-Psi!L25)/(2*p_h)</f>
        <v/>
      </c>
      <c r="M24" s="16">
        <f>(Psi!M23-Psi!M25)/(2*p_h)</f>
        <v/>
      </c>
      <c r="N24" s="16">
        <f>(Psi!N23-Psi!N25)/(2*p_h)</f>
        <v/>
      </c>
      <c r="O24" s="16">
        <f>(Psi!O23-Psi!O25)/(2*p_h)</f>
        <v/>
      </c>
      <c r="P24" s="16">
        <f>(Psi!P23-Psi!P25)/(2*p_h)</f>
        <v/>
      </c>
      <c r="Q24" s="16">
        <f>(Psi!Q23-Psi!Q25)/(2*p_h)</f>
        <v/>
      </c>
      <c r="R24" s="16">
        <f>(Psi!R23-Psi!R25)/(2*p_h)</f>
        <v/>
      </c>
      <c r="S24" s="16">
        <f>(Psi!S23-Psi!S25)/(2*p_h)</f>
        <v/>
      </c>
      <c r="T24" s="16">
        <f>(Psi!T23-Psi!T25)/(2*p_h)</f>
        <v/>
      </c>
      <c r="U24" s="16">
        <f>(Psi!U23-Psi!U25)/(2*p_h)</f>
        <v/>
      </c>
      <c r="V24" s="16">
        <f>(Psi!V23-Psi!V25)/(2*p_h)</f>
        <v/>
      </c>
      <c r="W24" s="16">
        <f>(Psi!W23-Psi!W25)/(2*p_h)</f>
        <v/>
      </c>
      <c r="X24" s="16">
        <f>(Psi!X23-Psi!X25)/(2*p_h)</f>
        <v/>
      </c>
      <c r="Y24" s="16">
        <f>(Psi!Y23-Psi!Y25)/(2*p_h)</f>
        <v/>
      </c>
      <c r="Z24" s="16">
        <f>(Psi!Z23-Psi!Z25)/(2*p_h)</f>
        <v/>
      </c>
      <c r="AA24" s="16">
        <f>(Psi!AA23-Psi!AA25)/(2*p_h)</f>
        <v/>
      </c>
      <c r="AB24" s="16">
        <f>(Psi!AB23-Psi!AB25)/(2*p_h)</f>
        <v/>
      </c>
      <c r="AC24" s="16">
        <f>(Psi!AC23-Psi!AC25)/(2*p_h)</f>
        <v/>
      </c>
      <c r="AD24" s="16">
        <f>(Psi!AD23-Psi!AD25)/(2*p_h)</f>
        <v/>
      </c>
      <c r="AE24" s="16">
        <f>(Psi!AE23-Psi!AE25)/(2*p_h)</f>
        <v/>
      </c>
      <c r="AF24" s="16">
        <f>(Psi!AF23-Psi!AF25)/(2*p_h)</f>
        <v/>
      </c>
      <c r="AG24" s="16">
        <f>(Psi!AG23-Psi!AG25)/(2*p_h)</f>
        <v/>
      </c>
      <c r="AH24" s="16" t="n">
        <v>0</v>
      </c>
    </row>
    <row r="25">
      <c r="A25" s="7">
        <f>A24-p_h</f>
        <v/>
      </c>
      <c r="B25" s="16" t="n">
        <v>0</v>
      </c>
      <c r="C25" s="16">
        <f>(Psi!C24-Psi!C26)/(2*p_h)</f>
        <v/>
      </c>
      <c r="D25" s="16">
        <f>(Psi!D24-Psi!D26)/(2*p_h)</f>
        <v/>
      </c>
      <c r="E25" s="16">
        <f>(Psi!E24-Psi!E26)/(2*p_h)</f>
        <v/>
      </c>
      <c r="F25" s="16">
        <f>(Psi!F24-Psi!F26)/(2*p_h)</f>
        <v/>
      </c>
      <c r="G25" s="16">
        <f>(Psi!G24-Psi!G26)/(2*p_h)</f>
        <v/>
      </c>
      <c r="H25" s="16">
        <f>(Psi!H24-Psi!H26)/(2*p_h)</f>
        <v/>
      </c>
      <c r="I25" s="16">
        <f>(Psi!I24-Psi!I26)/(2*p_h)</f>
        <v/>
      </c>
      <c r="J25" s="16">
        <f>(Psi!J24-Psi!J26)/(2*p_h)</f>
        <v/>
      </c>
      <c r="K25" s="16">
        <f>(Psi!K24-Psi!K26)/(2*p_h)</f>
        <v/>
      </c>
      <c r="L25" s="16">
        <f>(Psi!L24-Psi!L26)/(2*p_h)</f>
        <v/>
      </c>
      <c r="M25" s="16">
        <f>(Psi!M24-Psi!M26)/(2*p_h)</f>
        <v/>
      </c>
      <c r="N25" s="16">
        <f>(Psi!N24-Psi!N26)/(2*p_h)</f>
        <v/>
      </c>
      <c r="O25" s="16">
        <f>(Psi!O24-Psi!O26)/(2*p_h)</f>
        <v/>
      </c>
      <c r="P25" s="16">
        <f>(Psi!P24-Psi!P26)/(2*p_h)</f>
        <v/>
      </c>
      <c r="Q25" s="16">
        <f>(Psi!Q24-Psi!Q26)/(2*p_h)</f>
        <v/>
      </c>
      <c r="R25" s="16">
        <f>(Psi!R24-Psi!R26)/(2*p_h)</f>
        <v/>
      </c>
      <c r="S25" s="16">
        <f>(Psi!S24-Psi!S26)/(2*p_h)</f>
        <v/>
      </c>
      <c r="T25" s="16">
        <f>(Psi!T24-Psi!T26)/(2*p_h)</f>
        <v/>
      </c>
      <c r="U25" s="16">
        <f>(Psi!U24-Psi!U26)/(2*p_h)</f>
        <v/>
      </c>
      <c r="V25" s="16">
        <f>(Psi!V24-Psi!V26)/(2*p_h)</f>
        <v/>
      </c>
      <c r="W25" s="16">
        <f>(Psi!W24-Psi!W26)/(2*p_h)</f>
        <v/>
      </c>
      <c r="X25" s="16">
        <f>(Psi!X24-Psi!X26)/(2*p_h)</f>
        <v/>
      </c>
      <c r="Y25" s="16">
        <f>(Psi!Y24-Psi!Y26)/(2*p_h)</f>
        <v/>
      </c>
      <c r="Z25" s="16">
        <f>(Psi!Z24-Psi!Z26)/(2*p_h)</f>
        <v/>
      </c>
      <c r="AA25" s="16">
        <f>(Psi!AA24-Psi!AA26)/(2*p_h)</f>
        <v/>
      </c>
      <c r="AB25" s="16">
        <f>(Psi!AB24-Psi!AB26)/(2*p_h)</f>
        <v/>
      </c>
      <c r="AC25" s="16">
        <f>(Psi!AC24-Psi!AC26)/(2*p_h)</f>
        <v/>
      </c>
      <c r="AD25" s="16">
        <f>(Psi!AD24-Psi!AD26)/(2*p_h)</f>
        <v/>
      </c>
      <c r="AE25" s="16">
        <f>(Psi!AE24-Psi!AE26)/(2*p_h)</f>
        <v/>
      </c>
      <c r="AF25" s="16">
        <f>(Psi!AF24-Psi!AF26)/(2*p_h)</f>
        <v/>
      </c>
      <c r="AG25" s="16">
        <f>(Psi!AG24-Psi!AG26)/(2*p_h)</f>
        <v/>
      </c>
      <c r="AH25" s="16" t="n">
        <v>0</v>
      </c>
    </row>
    <row r="26">
      <c r="A26" s="7">
        <f>A25-p_h</f>
        <v/>
      </c>
      <c r="B26" s="16" t="n">
        <v>0</v>
      </c>
      <c r="C26" s="16">
        <f>(Psi!C25-Psi!C27)/(2*p_h)</f>
        <v/>
      </c>
      <c r="D26" s="16">
        <f>(Psi!D25-Psi!D27)/(2*p_h)</f>
        <v/>
      </c>
      <c r="E26" s="16">
        <f>(Psi!E25-Psi!E27)/(2*p_h)</f>
        <v/>
      </c>
      <c r="F26" s="16">
        <f>(Psi!F25-Psi!F27)/(2*p_h)</f>
        <v/>
      </c>
      <c r="G26" s="16">
        <f>(Psi!G25-Psi!G27)/(2*p_h)</f>
        <v/>
      </c>
      <c r="H26" s="16">
        <f>(Psi!H25-Psi!H27)/(2*p_h)</f>
        <v/>
      </c>
      <c r="I26" s="16">
        <f>(Psi!I25-Psi!I27)/(2*p_h)</f>
        <v/>
      </c>
      <c r="J26" s="16">
        <f>(Psi!J25-Psi!J27)/(2*p_h)</f>
        <v/>
      </c>
      <c r="K26" s="16">
        <f>(Psi!K25-Psi!K27)/(2*p_h)</f>
        <v/>
      </c>
      <c r="L26" s="16">
        <f>(Psi!L25-Psi!L27)/(2*p_h)</f>
        <v/>
      </c>
      <c r="M26" s="16">
        <f>(Psi!M25-Psi!M27)/(2*p_h)</f>
        <v/>
      </c>
      <c r="N26" s="16">
        <f>(Psi!N25-Psi!N27)/(2*p_h)</f>
        <v/>
      </c>
      <c r="O26" s="16">
        <f>(Psi!O25-Psi!O27)/(2*p_h)</f>
        <v/>
      </c>
      <c r="P26" s="16">
        <f>(Psi!P25-Psi!P27)/(2*p_h)</f>
        <v/>
      </c>
      <c r="Q26" s="16">
        <f>(Psi!Q25-Psi!Q27)/(2*p_h)</f>
        <v/>
      </c>
      <c r="R26" s="16">
        <f>(Psi!R25-Psi!R27)/(2*p_h)</f>
        <v/>
      </c>
      <c r="S26" s="16">
        <f>(Psi!S25-Psi!S27)/(2*p_h)</f>
        <v/>
      </c>
      <c r="T26" s="16">
        <f>(Psi!T25-Psi!T27)/(2*p_h)</f>
        <v/>
      </c>
      <c r="U26" s="16">
        <f>(Psi!U25-Psi!U27)/(2*p_h)</f>
        <v/>
      </c>
      <c r="V26" s="16">
        <f>(Psi!V25-Psi!V27)/(2*p_h)</f>
        <v/>
      </c>
      <c r="W26" s="16">
        <f>(Psi!W25-Psi!W27)/(2*p_h)</f>
        <v/>
      </c>
      <c r="X26" s="16">
        <f>(Psi!X25-Psi!X27)/(2*p_h)</f>
        <v/>
      </c>
      <c r="Y26" s="16">
        <f>(Psi!Y25-Psi!Y27)/(2*p_h)</f>
        <v/>
      </c>
      <c r="Z26" s="16">
        <f>(Psi!Z25-Psi!Z27)/(2*p_h)</f>
        <v/>
      </c>
      <c r="AA26" s="16">
        <f>(Psi!AA25-Psi!AA27)/(2*p_h)</f>
        <v/>
      </c>
      <c r="AB26" s="16">
        <f>(Psi!AB25-Psi!AB27)/(2*p_h)</f>
        <v/>
      </c>
      <c r="AC26" s="16">
        <f>(Psi!AC25-Psi!AC27)/(2*p_h)</f>
        <v/>
      </c>
      <c r="AD26" s="16">
        <f>(Psi!AD25-Psi!AD27)/(2*p_h)</f>
        <v/>
      </c>
      <c r="AE26" s="16">
        <f>(Psi!AE25-Psi!AE27)/(2*p_h)</f>
        <v/>
      </c>
      <c r="AF26" s="16">
        <f>(Psi!AF25-Psi!AF27)/(2*p_h)</f>
        <v/>
      </c>
      <c r="AG26" s="16">
        <f>(Psi!AG25-Psi!AG27)/(2*p_h)</f>
        <v/>
      </c>
      <c r="AH26" s="16" t="n">
        <v>0</v>
      </c>
    </row>
    <row r="27">
      <c r="A27" s="7">
        <f>A26-p_h</f>
        <v/>
      </c>
      <c r="B27" s="16" t="n">
        <v>0</v>
      </c>
      <c r="C27" s="16">
        <f>(Psi!C26-Psi!C28)/(2*p_h)</f>
        <v/>
      </c>
      <c r="D27" s="16">
        <f>(Psi!D26-Psi!D28)/(2*p_h)</f>
        <v/>
      </c>
      <c r="E27" s="16">
        <f>(Psi!E26-Psi!E28)/(2*p_h)</f>
        <v/>
      </c>
      <c r="F27" s="16">
        <f>(Psi!F26-Psi!F28)/(2*p_h)</f>
        <v/>
      </c>
      <c r="G27" s="16">
        <f>(Psi!G26-Psi!G28)/(2*p_h)</f>
        <v/>
      </c>
      <c r="H27" s="16">
        <f>(Psi!H26-Psi!H28)/(2*p_h)</f>
        <v/>
      </c>
      <c r="I27" s="16">
        <f>(Psi!I26-Psi!I28)/(2*p_h)</f>
        <v/>
      </c>
      <c r="J27" s="16">
        <f>(Psi!J26-Psi!J28)/(2*p_h)</f>
        <v/>
      </c>
      <c r="K27" s="16">
        <f>(Psi!K26-Psi!K28)/(2*p_h)</f>
        <v/>
      </c>
      <c r="L27" s="16">
        <f>(Psi!L26-Psi!L28)/(2*p_h)</f>
        <v/>
      </c>
      <c r="M27" s="16">
        <f>(Psi!M26-Psi!M28)/(2*p_h)</f>
        <v/>
      </c>
      <c r="N27" s="16">
        <f>(Psi!N26-Psi!N28)/(2*p_h)</f>
        <v/>
      </c>
      <c r="O27" s="16">
        <f>(Psi!O26-Psi!O28)/(2*p_h)</f>
        <v/>
      </c>
      <c r="P27" s="16">
        <f>(Psi!P26-Psi!P28)/(2*p_h)</f>
        <v/>
      </c>
      <c r="Q27" s="16">
        <f>(Psi!Q26-Psi!Q28)/(2*p_h)</f>
        <v/>
      </c>
      <c r="R27" s="16">
        <f>(Psi!R26-Psi!R28)/(2*p_h)</f>
        <v/>
      </c>
      <c r="S27" s="16">
        <f>(Psi!S26-Psi!S28)/(2*p_h)</f>
        <v/>
      </c>
      <c r="T27" s="16">
        <f>(Psi!T26-Psi!T28)/(2*p_h)</f>
        <v/>
      </c>
      <c r="U27" s="16">
        <f>(Psi!U26-Psi!U28)/(2*p_h)</f>
        <v/>
      </c>
      <c r="V27" s="16">
        <f>(Psi!V26-Psi!V28)/(2*p_h)</f>
        <v/>
      </c>
      <c r="W27" s="16">
        <f>(Psi!W26-Psi!W28)/(2*p_h)</f>
        <v/>
      </c>
      <c r="X27" s="16">
        <f>(Psi!X26-Psi!X28)/(2*p_h)</f>
        <v/>
      </c>
      <c r="Y27" s="16">
        <f>(Psi!Y26-Psi!Y28)/(2*p_h)</f>
        <v/>
      </c>
      <c r="Z27" s="16">
        <f>(Psi!Z26-Psi!Z28)/(2*p_h)</f>
        <v/>
      </c>
      <c r="AA27" s="16">
        <f>(Psi!AA26-Psi!AA28)/(2*p_h)</f>
        <v/>
      </c>
      <c r="AB27" s="16">
        <f>(Psi!AB26-Psi!AB28)/(2*p_h)</f>
        <v/>
      </c>
      <c r="AC27" s="16">
        <f>(Psi!AC26-Psi!AC28)/(2*p_h)</f>
        <v/>
      </c>
      <c r="AD27" s="16">
        <f>(Psi!AD26-Psi!AD28)/(2*p_h)</f>
        <v/>
      </c>
      <c r="AE27" s="16">
        <f>(Psi!AE26-Psi!AE28)/(2*p_h)</f>
        <v/>
      </c>
      <c r="AF27" s="16">
        <f>(Psi!AF26-Psi!AF28)/(2*p_h)</f>
        <v/>
      </c>
      <c r="AG27" s="16">
        <f>(Psi!AG26-Psi!AG28)/(2*p_h)</f>
        <v/>
      </c>
      <c r="AH27" s="16" t="n">
        <v>0</v>
      </c>
    </row>
    <row r="28">
      <c r="A28" s="7">
        <f>A27-p_h</f>
        <v/>
      </c>
      <c r="B28" s="16" t="n">
        <v>0</v>
      </c>
      <c r="C28" s="16">
        <f>(Psi!C27-Psi!C29)/(2*p_h)</f>
        <v/>
      </c>
      <c r="D28" s="16">
        <f>(Psi!D27-Psi!D29)/(2*p_h)</f>
        <v/>
      </c>
      <c r="E28" s="16">
        <f>(Psi!E27-Psi!E29)/(2*p_h)</f>
        <v/>
      </c>
      <c r="F28" s="16">
        <f>(Psi!F27-Psi!F29)/(2*p_h)</f>
        <v/>
      </c>
      <c r="G28" s="16">
        <f>(Psi!G27-Psi!G29)/(2*p_h)</f>
        <v/>
      </c>
      <c r="H28" s="16">
        <f>(Psi!H27-Psi!H29)/(2*p_h)</f>
        <v/>
      </c>
      <c r="I28" s="16">
        <f>(Psi!I27-Psi!I29)/(2*p_h)</f>
        <v/>
      </c>
      <c r="J28" s="16">
        <f>(Psi!J27-Psi!J29)/(2*p_h)</f>
        <v/>
      </c>
      <c r="K28" s="16">
        <f>(Psi!K27-Psi!K29)/(2*p_h)</f>
        <v/>
      </c>
      <c r="L28" s="16">
        <f>(Psi!L27-Psi!L29)/(2*p_h)</f>
        <v/>
      </c>
      <c r="M28" s="16">
        <f>(Psi!M27-Psi!M29)/(2*p_h)</f>
        <v/>
      </c>
      <c r="N28" s="16">
        <f>(Psi!N27-Psi!N29)/(2*p_h)</f>
        <v/>
      </c>
      <c r="O28" s="16">
        <f>(Psi!O27-Psi!O29)/(2*p_h)</f>
        <v/>
      </c>
      <c r="P28" s="16">
        <f>(Psi!P27-Psi!P29)/(2*p_h)</f>
        <v/>
      </c>
      <c r="Q28" s="16">
        <f>(Psi!Q27-Psi!Q29)/(2*p_h)</f>
        <v/>
      </c>
      <c r="R28" s="16">
        <f>(Psi!R27-Psi!R29)/(2*p_h)</f>
        <v/>
      </c>
      <c r="S28" s="16">
        <f>(Psi!S27-Psi!S29)/(2*p_h)</f>
        <v/>
      </c>
      <c r="T28" s="16">
        <f>(Psi!T27-Psi!T29)/(2*p_h)</f>
        <v/>
      </c>
      <c r="U28" s="16">
        <f>(Psi!U27-Psi!U29)/(2*p_h)</f>
        <v/>
      </c>
      <c r="V28" s="16">
        <f>(Psi!V27-Psi!V29)/(2*p_h)</f>
        <v/>
      </c>
      <c r="W28" s="16">
        <f>(Psi!W27-Psi!W29)/(2*p_h)</f>
        <v/>
      </c>
      <c r="X28" s="16">
        <f>(Psi!X27-Psi!X29)/(2*p_h)</f>
        <v/>
      </c>
      <c r="Y28" s="16">
        <f>(Psi!Y27-Psi!Y29)/(2*p_h)</f>
        <v/>
      </c>
      <c r="Z28" s="16">
        <f>(Psi!Z27-Psi!Z29)/(2*p_h)</f>
        <v/>
      </c>
      <c r="AA28" s="16">
        <f>(Psi!AA27-Psi!AA29)/(2*p_h)</f>
        <v/>
      </c>
      <c r="AB28" s="16">
        <f>(Psi!AB27-Psi!AB29)/(2*p_h)</f>
        <v/>
      </c>
      <c r="AC28" s="16">
        <f>(Psi!AC27-Psi!AC29)/(2*p_h)</f>
        <v/>
      </c>
      <c r="AD28" s="16">
        <f>(Psi!AD27-Psi!AD29)/(2*p_h)</f>
        <v/>
      </c>
      <c r="AE28" s="16">
        <f>(Psi!AE27-Psi!AE29)/(2*p_h)</f>
        <v/>
      </c>
      <c r="AF28" s="16">
        <f>(Psi!AF27-Psi!AF29)/(2*p_h)</f>
        <v/>
      </c>
      <c r="AG28" s="16">
        <f>(Psi!AG27-Psi!AG29)/(2*p_h)</f>
        <v/>
      </c>
      <c r="AH28" s="16" t="n">
        <v>0</v>
      </c>
    </row>
    <row r="29">
      <c r="A29" s="7">
        <f>A28-p_h</f>
        <v/>
      </c>
      <c r="B29" s="16" t="n">
        <v>0</v>
      </c>
      <c r="C29" s="16">
        <f>(Psi!C28-Psi!C30)/(2*p_h)</f>
        <v/>
      </c>
      <c r="D29" s="16">
        <f>(Psi!D28-Psi!D30)/(2*p_h)</f>
        <v/>
      </c>
      <c r="E29" s="16">
        <f>(Psi!E28-Psi!E30)/(2*p_h)</f>
        <v/>
      </c>
      <c r="F29" s="16">
        <f>(Psi!F28-Psi!F30)/(2*p_h)</f>
        <v/>
      </c>
      <c r="G29" s="16">
        <f>(Psi!G28-Psi!G30)/(2*p_h)</f>
        <v/>
      </c>
      <c r="H29" s="16">
        <f>(Psi!H28-Psi!H30)/(2*p_h)</f>
        <v/>
      </c>
      <c r="I29" s="16">
        <f>(Psi!I28-Psi!I30)/(2*p_h)</f>
        <v/>
      </c>
      <c r="J29" s="16">
        <f>(Psi!J28-Psi!J30)/(2*p_h)</f>
        <v/>
      </c>
      <c r="K29" s="16">
        <f>(Psi!K28-Psi!K30)/(2*p_h)</f>
        <v/>
      </c>
      <c r="L29" s="16">
        <f>(Psi!L28-Psi!L30)/(2*p_h)</f>
        <v/>
      </c>
      <c r="M29" s="16">
        <f>(Psi!M28-Psi!M30)/(2*p_h)</f>
        <v/>
      </c>
      <c r="N29" s="16">
        <f>(Psi!N28-Psi!N30)/(2*p_h)</f>
        <v/>
      </c>
      <c r="O29" s="16">
        <f>(Psi!O28-Psi!O30)/(2*p_h)</f>
        <v/>
      </c>
      <c r="P29" s="16">
        <f>(Psi!P28-Psi!P30)/(2*p_h)</f>
        <v/>
      </c>
      <c r="Q29" s="16">
        <f>(Psi!Q28-Psi!Q30)/(2*p_h)</f>
        <v/>
      </c>
      <c r="R29" s="16">
        <f>(Psi!R28-Psi!R30)/(2*p_h)</f>
        <v/>
      </c>
      <c r="S29" s="16">
        <f>(Psi!S28-Psi!S30)/(2*p_h)</f>
        <v/>
      </c>
      <c r="T29" s="16">
        <f>(Psi!T28-Psi!T30)/(2*p_h)</f>
        <v/>
      </c>
      <c r="U29" s="16">
        <f>(Psi!U28-Psi!U30)/(2*p_h)</f>
        <v/>
      </c>
      <c r="V29" s="16">
        <f>(Psi!V28-Psi!V30)/(2*p_h)</f>
        <v/>
      </c>
      <c r="W29" s="16">
        <f>(Psi!W28-Psi!W30)/(2*p_h)</f>
        <v/>
      </c>
      <c r="X29" s="16">
        <f>(Psi!X28-Psi!X30)/(2*p_h)</f>
        <v/>
      </c>
      <c r="Y29" s="16">
        <f>(Psi!Y28-Psi!Y30)/(2*p_h)</f>
        <v/>
      </c>
      <c r="Z29" s="16">
        <f>(Psi!Z28-Psi!Z30)/(2*p_h)</f>
        <v/>
      </c>
      <c r="AA29" s="16">
        <f>(Psi!AA28-Psi!AA30)/(2*p_h)</f>
        <v/>
      </c>
      <c r="AB29" s="16">
        <f>(Psi!AB28-Psi!AB30)/(2*p_h)</f>
        <v/>
      </c>
      <c r="AC29" s="16">
        <f>(Psi!AC28-Psi!AC30)/(2*p_h)</f>
        <v/>
      </c>
      <c r="AD29" s="16">
        <f>(Psi!AD28-Psi!AD30)/(2*p_h)</f>
        <v/>
      </c>
      <c r="AE29" s="16">
        <f>(Psi!AE28-Psi!AE30)/(2*p_h)</f>
        <v/>
      </c>
      <c r="AF29" s="16">
        <f>(Psi!AF28-Psi!AF30)/(2*p_h)</f>
        <v/>
      </c>
      <c r="AG29" s="16">
        <f>(Psi!AG28-Psi!AG30)/(2*p_h)</f>
        <v/>
      </c>
      <c r="AH29" s="16" t="n">
        <v>0</v>
      </c>
    </row>
    <row r="30">
      <c r="A30" s="7">
        <f>A29-p_h</f>
        <v/>
      </c>
      <c r="B30" s="16" t="n">
        <v>0</v>
      </c>
      <c r="C30" s="16">
        <f>(Psi!C29-Psi!C31)/(2*p_h)</f>
        <v/>
      </c>
      <c r="D30" s="16">
        <f>(Psi!D29-Psi!D31)/(2*p_h)</f>
        <v/>
      </c>
      <c r="E30" s="16">
        <f>(Psi!E29-Psi!E31)/(2*p_h)</f>
        <v/>
      </c>
      <c r="F30" s="16">
        <f>(Psi!F29-Psi!F31)/(2*p_h)</f>
        <v/>
      </c>
      <c r="G30" s="16">
        <f>(Psi!G29-Psi!G31)/(2*p_h)</f>
        <v/>
      </c>
      <c r="H30" s="16">
        <f>(Psi!H29-Psi!H31)/(2*p_h)</f>
        <v/>
      </c>
      <c r="I30" s="16">
        <f>(Psi!I29-Psi!I31)/(2*p_h)</f>
        <v/>
      </c>
      <c r="J30" s="16">
        <f>(Psi!J29-Psi!J31)/(2*p_h)</f>
        <v/>
      </c>
      <c r="K30" s="16">
        <f>(Psi!K29-Psi!K31)/(2*p_h)</f>
        <v/>
      </c>
      <c r="L30" s="16">
        <f>(Psi!L29-Psi!L31)/(2*p_h)</f>
        <v/>
      </c>
      <c r="M30" s="16">
        <f>(Psi!M29-Psi!M31)/(2*p_h)</f>
        <v/>
      </c>
      <c r="N30" s="16">
        <f>(Psi!N29-Psi!N31)/(2*p_h)</f>
        <v/>
      </c>
      <c r="O30" s="16">
        <f>(Psi!O29-Psi!O31)/(2*p_h)</f>
        <v/>
      </c>
      <c r="P30" s="16">
        <f>(Psi!P29-Psi!P31)/(2*p_h)</f>
        <v/>
      </c>
      <c r="Q30" s="16">
        <f>(Psi!Q29-Psi!Q31)/(2*p_h)</f>
        <v/>
      </c>
      <c r="R30" s="16">
        <f>(Psi!R29-Psi!R31)/(2*p_h)</f>
        <v/>
      </c>
      <c r="S30" s="16">
        <f>(Psi!S29-Psi!S31)/(2*p_h)</f>
        <v/>
      </c>
      <c r="T30" s="16">
        <f>(Psi!T29-Psi!T31)/(2*p_h)</f>
        <v/>
      </c>
      <c r="U30" s="16">
        <f>(Psi!U29-Psi!U31)/(2*p_h)</f>
        <v/>
      </c>
      <c r="V30" s="16">
        <f>(Psi!V29-Psi!V31)/(2*p_h)</f>
        <v/>
      </c>
      <c r="W30" s="16">
        <f>(Psi!W29-Psi!W31)/(2*p_h)</f>
        <v/>
      </c>
      <c r="X30" s="16">
        <f>(Psi!X29-Psi!X31)/(2*p_h)</f>
        <v/>
      </c>
      <c r="Y30" s="16">
        <f>(Psi!Y29-Psi!Y31)/(2*p_h)</f>
        <v/>
      </c>
      <c r="Z30" s="16">
        <f>(Psi!Z29-Psi!Z31)/(2*p_h)</f>
        <v/>
      </c>
      <c r="AA30" s="16">
        <f>(Psi!AA29-Psi!AA31)/(2*p_h)</f>
        <v/>
      </c>
      <c r="AB30" s="16">
        <f>(Psi!AB29-Psi!AB31)/(2*p_h)</f>
        <v/>
      </c>
      <c r="AC30" s="16">
        <f>(Psi!AC29-Psi!AC31)/(2*p_h)</f>
        <v/>
      </c>
      <c r="AD30" s="16">
        <f>(Psi!AD29-Psi!AD31)/(2*p_h)</f>
        <v/>
      </c>
      <c r="AE30" s="16">
        <f>(Psi!AE29-Psi!AE31)/(2*p_h)</f>
        <v/>
      </c>
      <c r="AF30" s="16">
        <f>(Psi!AF29-Psi!AF31)/(2*p_h)</f>
        <v/>
      </c>
      <c r="AG30" s="16">
        <f>(Psi!AG29-Psi!AG31)/(2*p_h)</f>
        <v/>
      </c>
      <c r="AH30" s="16" t="n">
        <v>0</v>
      </c>
    </row>
    <row r="31">
      <c r="A31" s="7">
        <f>A30-p_h</f>
        <v/>
      </c>
      <c r="B31" s="16" t="n">
        <v>0</v>
      </c>
      <c r="C31" s="16">
        <f>(Psi!C30-Psi!C32)/(2*p_h)</f>
        <v/>
      </c>
      <c r="D31" s="16">
        <f>(Psi!D30-Psi!D32)/(2*p_h)</f>
        <v/>
      </c>
      <c r="E31" s="16">
        <f>(Psi!E30-Psi!E32)/(2*p_h)</f>
        <v/>
      </c>
      <c r="F31" s="16">
        <f>(Psi!F30-Psi!F32)/(2*p_h)</f>
        <v/>
      </c>
      <c r="G31" s="16">
        <f>(Psi!G30-Psi!G32)/(2*p_h)</f>
        <v/>
      </c>
      <c r="H31" s="16">
        <f>(Psi!H30-Psi!H32)/(2*p_h)</f>
        <v/>
      </c>
      <c r="I31" s="16">
        <f>(Psi!I30-Psi!I32)/(2*p_h)</f>
        <v/>
      </c>
      <c r="J31" s="16">
        <f>(Psi!J30-Psi!J32)/(2*p_h)</f>
        <v/>
      </c>
      <c r="K31" s="16">
        <f>(Psi!K30-Psi!K32)/(2*p_h)</f>
        <v/>
      </c>
      <c r="L31" s="16">
        <f>(Psi!L30-Psi!L32)/(2*p_h)</f>
        <v/>
      </c>
      <c r="M31" s="16">
        <f>(Psi!M30-Psi!M32)/(2*p_h)</f>
        <v/>
      </c>
      <c r="N31" s="16">
        <f>(Psi!N30-Psi!N32)/(2*p_h)</f>
        <v/>
      </c>
      <c r="O31" s="16">
        <f>(Psi!O30-Psi!O32)/(2*p_h)</f>
        <v/>
      </c>
      <c r="P31" s="16">
        <f>(Psi!P30-Psi!P32)/(2*p_h)</f>
        <v/>
      </c>
      <c r="Q31" s="16">
        <f>(Psi!Q30-Psi!Q32)/(2*p_h)</f>
        <v/>
      </c>
      <c r="R31" s="16">
        <f>(Psi!R30-Psi!R32)/(2*p_h)</f>
        <v/>
      </c>
      <c r="S31" s="16">
        <f>(Psi!S30-Psi!S32)/(2*p_h)</f>
        <v/>
      </c>
      <c r="T31" s="16">
        <f>(Psi!T30-Psi!T32)/(2*p_h)</f>
        <v/>
      </c>
      <c r="U31" s="16">
        <f>(Psi!U30-Psi!U32)/(2*p_h)</f>
        <v/>
      </c>
      <c r="V31" s="16">
        <f>(Psi!V30-Psi!V32)/(2*p_h)</f>
        <v/>
      </c>
      <c r="W31" s="16">
        <f>(Psi!W30-Psi!W32)/(2*p_h)</f>
        <v/>
      </c>
      <c r="X31" s="16">
        <f>(Psi!X30-Psi!X32)/(2*p_h)</f>
        <v/>
      </c>
      <c r="Y31" s="16">
        <f>(Psi!Y30-Psi!Y32)/(2*p_h)</f>
        <v/>
      </c>
      <c r="Z31" s="16">
        <f>(Psi!Z30-Psi!Z32)/(2*p_h)</f>
        <v/>
      </c>
      <c r="AA31" s="16">
        <f>(Psi!AA30-Psi!AA32)/(2*p_h)</f>
        <v/>
      </c>
      <c r="AB31" s="16">
        <f>(Psi!AB30-Psi!AB32)/(2*p_h)</f>
        <v/>
      </c>
      <c r="AC31" s="16">
        <f>(Psi!AC30-Psi!AC32)/(2*p_h)</f>
        <v/>
      </c>
      <c r="AD31" s="16">
        <f>(Psi!AD30-Psi!AD32)/(2*p_h)</f>
        <v/>
      </c>
      <c r="AE31" s="16">
        <f>(Psi!AE30-Psi!AE32)/(2*p_h)</f>
        <v/>
      </c>
      <c r="AF31" s="16">
        <f>(Psi!AF30-Psi!AF32)/(2*p_h)</f>
        <v/>
      </c>
      <c r="AG31" s="16">
        <f>(Psi!AG30-Psi!AG32)/(2*p_h)</f>
        <v/>
      </c>
      <c r="AH31" s="16" t="n">
        <v>0</v>
      </c>
    </row>
    <row r="32">
      <c r="A32" s="7">
        <f>A31-p_h</f>
        <v/>
      </c>
      <c r="B32" s="16" t="n">
        <v>0</v>
      </c>
      <c r="C32" s="16">
        <f>(Psi!C31-Psi!C33)/(2*p_h)</f>
        <v/>
      </c>
      <c r="D32" s="16">
        <f>(Psi!D31-Psi!D33)/(2*p_h)</f>
        <v/>
      </c>
      <c r="E32" s="16">
        <f>(Psi!E31-Psi!E33)/(2*p_h)</f>
        <v/>
      </c>
      <c r="F32" s="16">
        <f>(Psi!F31-Psi!F33)/(2*p_h)</f>
        <v/>
      </c>
      <c r="G32" s="16">
        <f>(Psi!G31-Psi!G33)/(2*p_h)</f>
        <v/>
      </c>
      <c r="H32" s="16">
        <f>(Psi!H31-Psi!H33)/(2*p_h)</f>
        <v/>
      </c>
      <c r="I32" s="16">
        <f>(Psi!I31-Psi!I33)/(2*p_h)</f>
        <v/>
      </c>
      <c r="J32" s="16">
        <f>(Psi!J31-Psi!J33)/(2*p_h)</f>
        <v/>
      </c>
      <c r="K32" s="16">
        <f>(Psi!K31-Psi!K33)/(2*p_h)</f>
        <v/>
      </c>
      <c r="L32" s="16">
        <f>(Psi!L31-Psi!L33)/(2*p_h)</f>
        <v/>
      </c>
      <c r="M32" s="16">
        <f>(Psi!M31-Psi!M33)/(2*p_h)</f>
        <v/>
      </c>
      <c r="N32" s="16">
        <f>(Psi!N31-Psi!N33)/(2*p_h)</f>
        <v/>
      </c>
      <c r="O32" s="16">
        <f>(Psi!O31-Psi!O33)/(2*p_h)</f>
        <v/>
      </c>
      <c r="P32" s="16">
        <f>(Psi!P31-Psi!P33)/(2*p_h)</f>
        <v/>
      </c>
      <c r="Q32" s="16">
        <f>(Psi!Q31-Psi!Q33)/(2*p_h)</f>
        <v/>
      </c>
      <c r="R32" s="16">
        <f>(Psi!R31-Psi!R33)/(2*p_h)</f>
        <v/>
      </c>
      <c r="S32" s="16">
        <f>(Psi!S31-Psi!S33)/(2*p_h)</f>
        <v/>
      </c>
      <c r="T32" s="16">
        <f>(Psi!T31-Psi!T33)/(2*p_h)</f>
        <v/>
      </c>
      <c r="U32" s="16">
        <f>(Psi!U31-Psi!U33)/(2*p_h)</f>
        <v/>
      </c>
      <c r="V32" s="16">
        <f>(Psi!V31-Psi!V33)/(2*p_h)</f>
        <v/>
      </c>
      <c r="W32" s="16">
        <f>(Psi!W31-Psi!W33)/(2*p_h)</f>
        <v/>
      </c>
      <c r="X32" s="16">
        <f>(Psi!X31-Psi!X33)/(2*p_h)</f>
        <v/>
      </c>
      <c r="Y32" s="16">
        <f>(Psi!Y31-Psi!Y33)/(2*p_h)</f>
        <v/>
      </c>
      <c r="Z32" s="16">
        <f>(Psi!Z31-Psi!Z33)/(2*p_h)</f>
        <v/>
      </c>
      <c r="AA32" s="16">
        <f>(Psi!AA31-Psi!AA33)/(2*p_h)</f>
        <v/>
      </c>
      <c r="AB32" s="16">
        <f>(Psi!AB31-Psi!AB33)/(2*p_h)</f>
        <v/>
      </c>
      <c r="AC32" s="16">
        <f>(Psi!AC31-Psi!AC33)/(2*p_h)</f>
        <v/>
      </c>
      <c r="AD32" s="16">
        <f>(Psi!AD31-Psi!AD33)/(2*p_h)</f>
        <v/>
      </c>
      <c r="AE32" s="16">
        <f>(Psi!AE31-Psi!AE33)/(2*p_h)</f>
        <v/>
      </c>
      <c r="AF32" s="16">
        <f>(Psi!AF31-Psi!AF33)/(2*p_h)</f>
        <v/>
      </c>
      <c r="AG32" s="16">
        <f>(Psi!AG31-Psi!AG33)/(2*p_h)</f>
        <v/>
      </c>
      <c r="AH32" s="16" t="n">
        <v>0</v>
      </c>
    </row>
    <row r="33">
      <c r="A33" s="7">
        <f>A32-p_h</f>
        <v/>
      </c>
      <c r="B33" s="16" t="n">
        <v>0</v>
      </c>
      <c r="C33" s="16">
        <f>(Psi!C32-Psi!C34)/(2*p_h)</f>
        <v/>
      </c>
      <c r="D33" s="16">
        <f>(Psi!D32-Psi!D34)/(2*p_h)</f>
        <v/>
      </c>
      <c r="E33" s="16">
        <f>(Psi!E32-Psi!E34)/(2*p_h)</f>
        <v/>
      </c>
      <c r="F33" s="16">
        <f>(Psi!F32-Psi!F34)/(2*p_h)</f>
        <v/>
      </c>
      <c r="G33" s="16">
        <f>(Psi!G32-Psi!G34)/(2*p_h)</f>
        <v/>
      </c>
      <c r="H33" s="16">
        <f>(Psi!H32-Psi!H34)/(2*p_h)</f>
        <v/>
      </c>
      <c r="I33" s="16">
        <f>(Psi!I32-Psi!I34)/(2*p_h)</f>
        <v/>
      </c>
      <c r="J33" s="16">
        <f>(Psi!J32-Psi!J34)/(2*p_h)</f>
        <v/>
      </c>
      <c r="K33" s="16">
        <f>(Psi!K32-Psi!K34)/(2*p_h)</f>
        <v/>
      </c>
      <c r="L33" s="16">
        <f>(Psi!L32-Psi!L34)/(2*p_h)</f>
        <v/>
      </c>
      <c r="M33" s="16">
        <f>(Psi!M32-Psi!M34)/(2*p_h)</f>
        <v/>
      </c>
      <c r="N33" s="16">
        <f>(Psi!N32-Psi!N34)/(2*p_h)</f>
        <v/>
      </c>
      <c r="O33" s="16">
        <f>(Psi!O32-Psi!O34)/(2*p_h)</f>
        <v/>
      </c>
      <c r="P33" s="16">
        <f>(Psi!P32-Psi!P34)/(2*p_h)</f>
        <v/>
      </c>
      <c r="Q33" s="16">
        <f>(Psi!Q32-Psi!Q34)/(2*p_h)</f>
        <v/>
      </c>
      <c r="R33" s="16">
        <f>(Psi!R32-Psi!R34)/(2*p_h)</f>
        <v/>
      </c>
      <c r="S33" s="16">
        <f>(Psi!S32-Psi!S34)/(2*p_h)</f>
        <v/>
      </c>
      <c r="T33" s="16">
        <f>(Psi!T32-Psi!T34)/(2*p_h)</f>
        <v/>
      </c>
      <c r="U33" s="16">
        <f>(Psi!U32-Psi!U34)/(2*p_h)</f>
        <v/>
      </c>
      <c r="V33" s="16">
        <f>(Psi!V32-Psi!V34)/(2*p_h)</f>
        <v/>
      </c>
      <c r="W33" s="16">
        <f>(Psi!W32-Psi!W34)/(2*p_h)</f>
        <v/>
      </c>
      <c r="X33" s="16">
        <f>(Psi!X32-Psi!X34)/(2*p_h)</f>
        <v/>
      </c>
      <c r="Y33" s="16">
        <f>(Psi!Y32-Psi!Y34)/(2*p_h)</f>
        <v/>
      </c>
      <c r="Z33" s="16">
        <f>(Psi!Z32-Psi!Z34)/(2*p_h)</f>
        <v/>
      </c>
      <c r="AA33" s="16">
        <f>(Psi!AA32-Psi!AA34)/(2*p_h)</f>
        <v/>
      </c>
      <c r="AB33" s="16">
        <f>(Psi!AB32-Psi!AB34)/(2*p_h)</f>
        <v/>
      </c>
      <c r="AC33" s="16">
        <f>(Psi!AC32-Psi!AC34)/(2*p_h)</f>
        <v/>
      </c>
      <c r="AD33" s="16">
        <f>(Psi!AD32-Psi!AD34)/(2*p_h)</f>
        <v/>
      </c>
      <c r="AE33" s="16">
        <f>(Psi!AE32-Psi!AE34)/(2*p_h)</f>
        <v/>
      </c>
      <c r="AF33" s="16">
        <f>(Psi!AF32-Psi!AF34)/(2*p_h)</f>
        <v/>
      </c>
      <c r="AG33" s="16">
        <f>(Psi!AG32-Psi!AG34)/(2*p_h)</f>
        <v/>
      </c>
      <c r="AH33" s="16" t="n">
        <v>0</v>
      </c>
    </row>
    <row r="34">
      <c r="A34" s="7">
        <f>A33-p_h</f>
        <v/>
      </c>
      <c r="B34" s="16" t="n">
        <v>0</v>
      </c>
      <c r="C34" s="16">
        <f>(Psi!C33-Psi!C35)/(2*p_h)</f>
        <v/>
      </c>
      <c r="D34" s="16">
        <f>(Psi!D33-Psi!D35)/(2*p_h)</f>
        <v/>
      </c>
      <c r="E34" s="16">
        <f>(Psi!E33-Psi!E35)/(2*p_h)</f>
        <v/>
      </c>
      <c r="F34" s="16">
        <f>(Psi!F33-Psi!F35)/(2*p_h)</f>
        <v/>
      </c>
      <c r="G34" s="16">
        <f>(Psi!G33-Psi!G35)/(2*p_h)</f>
        <v/>
      </c>
      <c r="H34" s="16">
        <f>(Psi!H33-Psi!H35)/(2*p_h)</f>
        <v/>
      </c>
      <c r="I34" s="16">
        <f>(Psi!I33-Psi!I35)/(2*p_h)</f>
        <v/>
      </c>
      <c r="J34" s="16">
        <f>(Psi!J33-Psi!J35)/(2*p_h)</f>
        <v/>
      </c>
      <c r="K34" s="16">
        <f>(Psi!K33-Psi!K35)/(2*p_h)</f>
        <v/>
      </c>
      <c r="L34" s="16">
        <f>(Psi!L33-Psi!L35)/(2*p_h)</f>
        <v/>
      </c>
      <c r="M34" s="16">
        <f>(Psi!M33-Psi!M35)/(2*p_h)</f>
        <v/>
      </c>
      <c r="N34" s="16">
        <f>(Psi!N33-Psi!N35)/(2*p_h)</f>
        <v/>
      </c>
      <c r="O34" s="16">
        <f>(Psi!O33-Psi!O35)/(2*p_h)</f>
        <v/>
      </c>
      <c r="P34" s="16">
        <f>(Psi!P33-Psi!P35)/(2*p_h)</f>
        <v/>
      </c>
      <c r="Q34" s="16">
        <f>(Psi!Q33-Psi!Q35)/(2*p_h)</f>
        <v/>
      </c>
      <c r="R34" s="16">
        <f>(Psi!R33-Psi!R35)/(2*p_h)</f>
        <v/>
      </c>
      <c r="S34" s="16">
        <f>(Psi!S33-Psi!S35)/(2*p_h)</f>
        <v/>
      </c>
      <c r="T34" s="16">
        <f>(Psi!T33-Psi!T35)/(2*p_h)</f>
        <v/>
      </c>
      <c r="U34" s="16">
        <f>(Psi!U33-Psi!U35)/(2*p_h)</f>
        <v/>
      </c>
      <c r="V34" s="16">
        <f>(Psi!V33-Psi!V35)/(2*p_h)</f>
        <v/>
      </c>
      <c r="W34" s="16">
        <f>(Psi!W33-Psi!W35)/(2*p_h)</f>
        <v/>
      </c>
      <c r="X34" s="16">
        <f>(Psi!X33-Psi!X35)/(2*p_h)</f>
        <v/>
      </c>
      <c r="Y34" s="16">
        <f>(Psi!Y33-Psi!Y35)/(2*p_h)</f>
        <v/>
      </c>
      <c r="Z34" s="16">
        <f>(Psi!Z33-Psi!Z35)/(2*p_h)</f>
        <v/>
      </c>
      <c r="AA34" s="16">
        <f>(Psi!AA33-Psi!AA35)/(2*p_h)</f>
        <v/>
      </c>
      <c r="AB34" s="16">
        <f>(Psi!AB33-Psi!AB35)/(2*p_h)</f>
        <v/>
      </c>
      <c r="AC34" s="16">
        <f>(Psi!AC33-Psi!AC35)/(2*p_h)</f>
        <v/>
      </c>
      <c r="AD34" s="16">
        <f>(Psi!AD33-Psi!AD35)/(2*p_h)</f>
        <v/>
      </c>
      <c r="AE34" s="16">
        <f>(Psi!AE33-Psi!AE35)/(2*p_h)</f>
        <v/>
      </c>
      <c r="AF34" s="16">
        <f>(Psi!AF33-Psi!AF35)/(2*p_h)</f>
        <v/>
      </c>
      <c r="AG34" s="16">
        <f>(Psi!AG33-Psi!AG35)/(2*p_h)</f>
        <v/>
      </c>
      <c r="AH34" s="16" t="n">
        <v>0</v>
      </c>
    </row>
    <row r="35">
      <c r="A35" s="7">
        <f>A34-p_h</f>
        <v/>
      </c>
      <c r="B35" s="16" t="n">
        <v>0</v>
      </c>
      <c r="C35" s="16" t="n">
        <v>0</v>
      </c>
      <c r="D35" s="16" t="n">
        <v>0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>
        <v>0</v>
      </c>
      <c r="AA35" s="16" t="n">
        <v>0</v>
      </c>
      <c r="AB35" s="16" t="n">
        <v>0</v>
      </c>
      <c r="AC35" s="16" t="n">
        <v>0</v>
      </c>
      <c r="AD35" s="16" t="n">
        <v>0</v>
      </c>
      <c r="AE35" s="16" t="n">
        <v>0</v>
      </c>
      <c r="AF35" s="16" t="n">
        <v>0</v>
      </c>
      <c r="AG35" s="16" t="n">
        <v>0</v>
      </c>
      <c r="AH35" s="16" t="n">
        <v>0</v>
      </c>
    </row>
  </sheetData>
  <conditionalFormatting sqref="B3:AH35">
    <cfRule type="colorScale" priority="1">
      <colorScale>
        <cfvo type="min"/>
        <cfvo type="num" val="0"/>
        <cfvo type="max"/>
        <color rgb="002C7BB6"/>
        <color rgb="00FFFFFF"/>
        <color rgb="00D7191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</cols>
  <sheetData>
    <row r="1">
      <c r="A1" s="4" t="inlineStr">
        <is>
          <t>Vertical velocity v</t>
        </is>
      </c>
    </row>
    <row r="2">
      <c r="A2" s="5" t="inlineStr">
        <is>
          <t>y \ x</t>
        </is>
      </c>
      <c r="B2" s="6" t="n">
        <v>0</v>
      </c>
      <c r="C2" s="6">
        <f>B2+p_h</f>
        <v/>
      </c>
      <c r="D2" s="6">
        <f>C2+p_h</f>
        <v/>
      </c>
      <c r="E2" s="6">
        <f>D2+p_h</f>
        <v/>
      </c>
      <c r="F2" s="6">
        <f>E2+p_h</f>
        <v/>
      </c>
      <c r="G2" s="6">
        <f>F2+p_h</f>
        <v/>
      </c>
      <c r="H2" s="6">
        <f>G2+p_h</f>
        <v/>
      </c>
      <c r="I2" s="6">
        <f>H2+p_h</f>
        <v/>
      </c>
      <c r="J2" s="6">
        <f>I2+p_h</f>
        <v/>
      </c>
      <c r="K2" s="6">
        <f>J2+p_h</f>
        <v/>
      </c>
      <c r="L2" s="6">
        <f>K2+p_h</f>
        <v/>
      </c>
      <c r="M2" s="6">
        <f>L2+p_h</f>
        <v/>
      </c>
      <c r="N2" s="6">
        <f>M2+p_h</f>
        <v/>
      </c>
      <c r="O2" s="6">
        <f>N2+p_h</f>
        <v/>
      </c>
      <c r="P2" s="6">
        <f>O2+p_h</f>
        <v/>
      </c>
      <c r="Q2" s="6">
        <f>P2+p_h</f>
        <v/>
      </c>
      <c r="R2" s="6">
        <f>Q2+p_h</f>
        <v/>
      </c>
      <c r="S2" s="6">
        <f>R2+p_h</f>
        <v/>
      </c>
      <c r="T2" s="6">
        <f>S2+p_h</f>
        <v/>
      </c>
      <c r="U2" s="6">
        <f>T2+p_h</f>
        <v/>
      </c>
      <c r="V2" s="6">
        <f>U2+p_h</f>
        <v/>
      </c>
      <c r="W2" s="6">
        <f>V2+p_h</f>
        <v/>
      </c>
      <c r="X2" s="6">
        <f>W2+p_h</f>
        <v/>
      </c>
      <c r="Y2" s="6">
        <f>X2+p_h</f>
        <v/>
      </c>
      <c r="Z2" s="6">
        <f>Y2+p_h</f>
        <v/>
      </c>
      <c r="AA2" s="6">
        <f>Z2+p_h</f>
        <v/>
      </c>
      <c r="AB2" s="6">
        <f>AA2+p_h</f>
        <v/>
      </c>
      <c r="AC2" s="6">
        <f>AB2+p_h</f>
        <v/>
      </c>
      <c r="AD2" s="6">
        <f>AC2+p_h</f>
        <v/>
      </c>
      <c r="AE2" s="6">
        <f>AD2+p_h</f>
        <v/>
      </c>
      <c r="AF2" s="6">
        <f>AE2+p_h</f>
        <v/>
      </c>
      <c r="AG2" s="6">
        <f>AF2+p_h</f>
        <v/>
      </c>
      <c r="AH2" s="6">
        <f>AG2+p_h</f>
        <v/>
      </c>
    </row>
    <row r="3">
      <c r="A3" s="7">
        <f>32*p_h</f>
        <v/>
      </c>
      <c r="B3" s="16" t="n">
        <v>0</v>
      </c>
      <c r="C3" s="16" t="n">
        <v>0</v>
      </c>
      <c r="D3" s="16" t="n">
        <v>0</v>
      </c>
      <c r="E3" s="16" t="n">
        <v>0</v>
      </c>
      <c r="F3" s="16" t="n">
        <v>0</v>
      </c>
      <c r="G3" s="16" t="n">
        <v>0</v>
      </c>
      <c r="H3" s="16" t="n">
        <v>0</v>
      </c>
      <c r="I3" s="16" t="n">
        <v>0</v>
      </c>
      <c r="J3" s="16" t="n">
        <v>0</v>
      </c>
      <c r="K3" s="16" t="n">
        <v>0</v>
      </c>
      <c r="L3" s="16" t="n">
        <v>0</v>
      </c>
      <c r="M3" s="16" t="n">
        <v>0</v>
      </c>
      <c r="N3" s="16" t="n">
        <v>0</v>
      </c>
      <c r="O3" s="16" t="n">
        <v>0</v>
      </c>
      <c r="P3" s="16" t="n">
        <v>0</v>
      </c>
      <c r="Q3" s="16" t="n">
        <v>0</v>
      </c>
      <c r="R3" s="16" t="n">
        <v>0</v>
      </c>
      <c r="S3" s="16" t="n">
        <v>0</v>
      </c>
      <c r="T3" s="16" t="n">
        <v>0</v>
      </c>
      <c r="U3" s="16" t="n">
        <v>0</v>
      </c>
      <c r="V3" s="16" t="n">
        <v>0</v>
      </c>
      <c r="W3" s="16" t="n">
        <v>0</v>
      </c>
      <c r="X3" s="16" t="n">
        <v>0</v>
      </c>
      <c r="Y3" s="16" t="n">
        <v>0</v>
      </c>
      <c r="Z3" s="16" t="n">
        <v>0</v>
      </c>
      <c r="AA3" s="16" t="n">
        <v>0</v>
      </c>
      <c r="AB3" s="16" t="n">
        <v>0</v>
      </c>
      <c r="AC3" s="16" t="n">
        <v>0</v>
      </c>
      <c r="AD3" s="16" t="n">
        <v>0</v>
      </c>
      <c r="AE3" s="16" t="n">
        <v>0</v>
      </c>
      <c r="AF3" s="16" t="n">
        <v>0</v>
      </c>
      <c r="AG3" s="16" t="n">
        <v>0</v>
      </c>
      <c r="AH3" s="16" t="n">
        <v>0</v>
      </c>
    </row>
    <row r="4">
      <c r="A4" s="7">
        <f>A3-p_h</f>
        <v/>
      </c>
      <c r="B4" s="16" t="n">
        <v>0</v>
      </c>
      <c r="C4" s="16">
        <f>-(Psi!D4-Psi!B4)/(2*p_h)</f>
        <v/>
      </c>
      <c r="D4" s="16">
        <f>-(Psi!E4-Psi!C4)/(2*p_h)</f>
        <v/>
      </c>
      <c r="E4" s="16">
        <f>-(Psi!F4-Psi!D4)/(2*p_h)</f>
        <v/>
      </c>
      <c r="F4" s="16">
        <f>-(Psi!G4-Psi!E4)/(2*p_h)</f>
        <v/>
      </c>
      <c r="G4" s="16">
        <f>-(Psi!H4-Psi!F4)/(2*p_h)</f>
        <v/>
      </c>
      <c r="H4" s="16">
        <f>-(Psi!I4-Psi!G4)/(2*p_h)</f>
        <v/>
      </c>
      <c r="I4" s="16">
        <f>-(Psi!J4-Psi!H4)/(2*p_h)</f>
        <v/>
      </c>
      <c r="J4" s="16">
        <f>-(Psi!K4-Psi!I4)/(2*p_h)</f>
        <v/>
      </c>
      <c r="K4" s="16">
        <f>-(Psi!L4-Psi!J4)/(2*p_h)</f>
        <v/>
      </c>
      <c r="L4" s="16">
        <f>-(Psi!M4-Psi!K4)/(2*p_h)</f>
        <v/>
      </c>
      <c r="M4" s="16">
        <f>-(Psi!N4-Psi!L4)/(2*p_h)</f>
        <v/>
      </c>
      <c r="N4" s="16">
        <f>-(Psi!O4-Psi!M4)/(2*p_h)</f>
        <v/>
      </c>
      <c r="O4" s="16">
        <f>-(Psi!P4-Psi!N4)/(2*p_h)</f>
        <v/>
      </c>
      <c r="P4" s="16">
        <f>-(Psi!Q4-Psi!O4)/(2*p_h)</f>
        <v/>
      </c>
      <c r="Q4" s="16">
        <f>-(Psi!R4-Psi!P4)/(2*p_h)</f>
        <v/>
      </c>
      <c r="R4" s="16">
        <f>-(Psi!S4-Psi!Q4)/(2*p_h)</f>
        <v/>
      </c>
      <c r="S4" s="16">
        <f>-(Psi!T4-Psi!R4)/(2*p_h)</f>
        <v/>
      </c>
      <c r="T4" s="16">
        <f>-(Psi!U4-Psi!S4)/(2*p_h)</f>
        <v/>
      </c>
      <c r="U4" s="16">
        <f>-(Psi!V4-Psi!T4)/(2*p_h)</f>
        <v/>
      </c>
      <c r="V4" s="16">
        <f>-(Psi!W4-Psi!U4)/(2*p_h)</f>
        <v/>
      </c>
      <c r="W4" s="16">
        <f>-(Psi!X4-Psi!V4)/(2*p_h)</f>
        <v/>
      </c>
      <c r="X4" s="16">
        <f>-(Psi!Y4-Psi!W4)/(2*p_h)</f>
        <v/>
      </c>
      <c r="Y4" s="16">
        <f>-(Psi!Z4-Psi!X4)/(2*p_h)</f>
        <v/>
      </c>
      <c r="Z4" s="16">
        <f>-(Psi!AA4-Psi!Y4)/(2*p_h)</f>
        <v/>
      </c>
      <c r="AA4" s="16">
        <f>-(Psi!AB4-Psi!Z4)/(2*p_h)</f>
        <v/>
      </c>
      <c r="AB4" s="16">
        <f>-(Psi!AC4-Psi!AA4)/(2*p_h)</f>
        <v/>
      </c>
      <c r="AC4" s="16">
        <f>-(Psi!AD4-Psi!AB4)/(2*p_h)</f>
        <v/>
      </c>
      <c r="AD4" s="16">
        <f>-(Psi!AE4-Psi!AC4)/(2*p_h)</f>
        <v/>
      </c>
      <c r="AE4" s="16">
        <f>-(Psi!AF4-Psi!AD4)/(2*p_h)</f>
        <v/>
      </c>
      <c r="AF4" s="16">
        <f>-(Psi!AG4-Psi!AE4)/(2*p_h)</f>
        <v/>
      </c>
      <c r="AG4" s="16">
        <f>-(Psi!AH4-Psi!AF4)/(2*p_h)</f>
        <v/>
      </c>
      <c r="AH4" s="16" t="n">
        <v>0</v>
      </c>
    </row>
    <row r="5">
      <c r="A5" s="7">
        <f>A4-p_h</f>
        <v/>
      </c>
      <c r="B5" s="16" t="n">
        <v>0</v>
      </c>
      <c r="C5" s="16">
        <f>-(Psi!D5-Psi!B5)/(2*p_h)</f>
        <v/>
      </c>
      <c r="D5" s="16">
        <f>-(Psi!E5-Psi!C5)/(2*p_h)</f>
        <v/>
      </c>
      <c r="E5" s="16">
        <f>-(Psi!F5-Psi!D5)/(2*p_h)</f>
        <v/>
      </c>
      <c r="F5" s="16">
        <f>-(Psi!G5-Psi!E5)/(2*p_h)</f>
        <v/>
      </c>
      <c r="G5" s="16">
        <f>-(Psi!H5-Psi!F5)/(2*p_h)</f>
        <v/>
      </c>
      <c r="H5" s="16">
        <f>-(Psi!I5-Psi!G5)/(2*p_h)</f>
        <v/>
      </c>
      <c r="I5" s="16">
        <f>-(Psi!J5-Psi!H5)/(2*p_h)</f>
        <v/>
      </c>
      <c r="J5" s="16">
        <f>-(Psi!K5-Psi!I5)/(2*p_h)</f>
        <v/>
      </c>
      <c r="K5" s="16">
        <f>-(Psi!L5-Psi!J5)/(2*p_h)</f>
        <v/>
      </c>
      <c r="L5" s="16">
        <f>-(Psi!M5-Psi!K5)/(2*p_h)</f>
        <v/>
      </c>
      <c r="M5" s="16">
        <f>-(Psi!N5-Psi!L5)/(2*p_h)</f>
        <v/>
      </c>
      <c r="N5" s="16">
        <f>-(Psi!O5-Psi!M5)/(2*p_h)</f>
        <v/>
      </c>
      <c r="O5" s="16">
        <f>-(Psi!P5-Psi!N5)/(2*p_h)</f>
        <v/>
      </c>
      <c r="P5" s="16">
        <f>-(Psi!Q5-Psi!O5)/(2*p_h)</f>
        <v/>
      </c>
      <c r="Q5" s="16">
        <f>-(Psi!R5-Psi!P5)/(2*p_h)</f>
        <v/>
      </c>
      <c r="R5" s="16">
        <f>-(Psi!S5-Psi!Q5)/(2*p_h)</f>
        <v/>
      </c>
      <c r="S5" s="16">
        <f>-(Psi!T5-Psi!R5)/(2*p_h)</f>
        <v/>
      </c>
      <c r="T5" s="16">
        <f>-(Psi!U5-Psi!S5)/(2*p_h)</f>
        <v/>
      </c>
      <c r="U5" s="16">
        <f>-(Psi!V5-Psi!T5)/(2*p_h)</f>
        <v/>
      </c>
      <c r="V5" s="16">
        <f>-(Psi!W5-Psi!U5)/(2*p_h)</f>
        <v/>
      </c>
      <c r="W5" s="16">
        <f>-(Psi!X5-Psi!V5)/(2*p_h)</f>
        <v/>
      </c>
      <c r="X5" s="16">
        <f>-(Psi!Y5-Psi!W5)/(2*p_h)</f>
        <v/>
      </c>
      <c r="Y5" s="16">
        <f>-(Psi!Z5-Psi!X5)/(2*p_h)</f>
        <v/>
      </c>
      <c r="Z5" s="16">
        <f>-(Psi!AA5-Psi!Y5)/(2*p_h)</f>
        <v/>
      </c>
      <c r="AA5" s="16">
        <f>-(Psi!AB5-Psi!Z5)/(2*p_h)</f>
        <v/>
      </c>
      <c r="AB5" s="16">
        <f>-(Psi!AC5-Psi!AA5)/(2*p_h)</f>
        <v/>
      </c>
      <c r="AC5" s="16">
        <f>-(Psi!AD5-Psi!AB5)/(2*p_h)</f>
        <v/>
      </c>
      <c r="AD5" s="16">
        <f>-(Psi!AE5-Psi!AC5)/(2*p_h)</f>
        <v/>
      </c>
      <c r="AE5" s="16">
        <f>-(Psi!AF5-Psi!AD5)/(2*p_h)</f>
        <v/>
      </c>
      <c r="AF5" s="16">
        <f>-(Psi!AG5-Psi!AE5)/(2*p_h)</f>
        <v/>
      </c>
      <c r="AG5" s="16">
        <f>-(Psi!AH5-Psi!AF5)/(2*p_h)</f>
        <v/>
      </c>
      <c r="AH5" s="16" t="n">
        <v>0</v>
      </c>
    </row>
    <row r="6">
      <c r="A6" s="7">
        <f>A5-p_h</f>
        <v/>
      </c>
      <c r="B6" s="16" t="n">
        <v>0</v>
      </c>
      <c r="C6" s="16">
        <f>-(Psi!D6-Psi!B6)/(2*p_h)</f>
        <v/>
      </c>
      <c r="D6" s="16">
        <f>-(Psi!E6-Psi!C6)/(2*p_h)</f>
        <v/>
      </c>
      <c r="E6" s="16">
        <f>-(Psi!F6-Psi!D6)/(2*p_h)</f>
        <v/>
      </c>
      <c r="F6" s="16">
        <f>-(Psi!G6-Psi!E6)/(2*p_h)</f>
        <v/>
      </c>
      <c r="G6" s="16">
        <f>-(Psi!H6-Psi!F6)/(2*p_h)</f>
        <v/>
      </c>
      <c r="H6" s="16">
        <f>-(Psi!I6-Psi!G6)/(2*p_h)</f>
        <v/>
      </c>
      <c r="I6" s="16">
        <f>-(Psi!J6-Psi!H6)/(2*p_h)</f>
        <v/>
      </c>
      <c r="J6" s="16">
        <f>-(Psi!K6-Psi!I6)/(2*p_h)</f>
        <v/>
      </c>
      <c r="K6" s="16">
        <f>-(Psi!L6-Psi!J6)/(2*p_h)</f>
        <v/>
      </c>
      <c r="L6" s="16">
        <f>-(Psi!M6-Psi!K6)/(2*p_h)</f>
        <v/>
      </c>
      <c r="M6" s="16">
        <f>-(Psi!N6-Psi!L6)/(2*p_h)</f>
        <v/>
      </c>
      <c r="N6" s="16">
        <f>-(Psi!O6-Psi!M6)/(2*p_h)</f>
        <v/>
      </c>
      <c r="O6" s="16">
        <f>-(Psi!P6-Psi!N6)/(2*p_h)</f>
        <v/>
      </c>
      <c r="P6" s="16">
        <f>-(Psi!Q6-Psi!O6)/(2*p_h)</f>
        <v/>
      </c>
      <c r="Q6" s="16">
        <f>-(Psi!R6-Psi!P6)/(2*p_h)</f>
        <v/>
      </c>
      <c r="R6" s="16">
        <f>-(Psi!S6-Psi!Q6)/(2*p_h)</f>
        <v/>
      </c>
      <c r="S6" s="16">
        <f>-(Psi!T6-Psi!R6)/(2*p_h)</f>
        <v/>
      </c>
      <c r="T6" s="16">
        <f>-(Psi!U6-Psi!S6)/(2*p_h)</f>
        <v/>
      </c>
      <c r="U6" s="16">
        <f>-(Psi!V6-Psi!T6)/(2*p_h)</f>
        <v/>
      </c>
      <c r="V6" s="16">
        <f>-(Psi!W6-Psi!U6)/(2*p_h)</f>
        <v/>
      </c>
      <c r="W6" s="16">
        <f>-(Psi!X6-Psi!V6)/(2*p_h)</f>
        <v/>
      </c>
      <c r="X6" s="16">
        <f>-(Psi!Y6-Psi!W6)/(2*p_h)</f>
        <v/>
      </c>
      <c r="Y6" s="16">
        <f>-(Psi!Z6-Psi!X6)/(2*p_h)</f>
        <v/>
      </c>
      <c r="Z6" s="16">
        <f>-(Psi!AA6-Psi!Y6)/(2*p_h)</f>
        <v/>
      </c>
      <c r="AA6" s="16">
        <f>-(Psi!AB6-Psi!Z6)/(2*p_h)</f>
        <v/>
      </c>
      <c r="AB6" s="16">
        <f>-(Psi!AC6-Psi!AA6)/(2*p_h)</f>
        <v/>
      </c>
      <c r="AC6" s="16">
        <f>-(Psi!AD6-Psi!AB6)/(2*p_h)</f>
        <v/>
      </c>
      <c r="AD6" s="16">
        <f>-(Psi!AE6-Psi!AC6)/(2*p_h)</f>
        <v/>
      </c>
      <c r="AE6" s="16">
        <f>-(Psi!AF6-Psi!AD6)/(2*p_h)</f>
        <v/>
      </c>
      <c r="AF6" s="16">
        <f>-(Psi!AG6-Psi!AE6)/(2*p_h)</f>
        <v/>
      </c>
      <c r="AG6" s="16">
        <f>-(Psi!AH6-Psi!AF6)/(2*p_h)</f>
        <v/>
      </c>
      <c r="AH6" s="16" t="n">
        <v>0</v>
      </c>
    </row>
    <row r="7">
      <c r="A7" s="7">
        <f>A6-p_h</f>
        <v/>
      </c>
      <c r="B7" s="16" t="n">
        <v>0</v>
      </c>
      <c r="C7" s="16">
        <f>-(Psi!D7-Psi!B7)/(2*p_h)</f>
        <v/>
      </c>
      <c r="D7" s="16">
        <f>-(Psi!E7-Psi!C7)/(2*p_h)</f>
        <v/>
      </c>
      <c r="E7" s="16">
        <f>-(Psi!F7-Psi!D7)/(2*p_h)</f>
        <v/>
      </c>
      <c r="F7" s="16">
        <f>-(Psi!G7-Psi!E7)/(2*p_h)</f>
        <v/>
      </c>
      <c r="G7" s="16">
        <f>-(Psi!H7-Psi!F7)/(2*p_h)</f>
        <v/>
      </c>
      <c r="H7" s="16">
        <f>-(Psi!I7-Psi!G7)/(2*p_h)</f>
        <v/>
      </c>
      <c r="I7" s="16">
        <f>-(Psi!J7-Psi!H7)/(2*p_h)</f>
        <v/>
      </c>
      <c r="J7" s="16">
        <f>-(Psi!K7-Psi!I7)/(2*p_h)</f>
        <v/>
      </c>
      <c r="K7" s="16">
        <f>-(Psi!L7-Psi!J7)/(2*p_h)</f>
        <v/>
      </c>
      <c r="L7" s="16">
        <f>-(Psi!M7-Psi!K7)/(2*p_h)</f>
        <v/>
      </c>
      <c r="M7" s="16">
        <f>-(Psi!N7-Psi!L7)/(2*p_h)</f>
        <v/>
      </c>
      <c r="N7" s="16">
        <f>-(Psi!O7-Psi!M7)/(2*p_h)</f>
        <v/>
      </c>
      <c r="O7" s="16">
        <f>-(Psi!P7-Psi!N7)/(2*p_h)</f>
        <v/>
      </c>
      <c r="P7" s="16">
        <f>-(Psi!Q7-Psi!O7)/(2*p_h)</f>
        <v/>
      </c>
      <c r="Q7" s="16">
        <f>-(Psi!R7-Psi!P7)/(2*p_h)</f>
        <v/>
      </c>
      <c r="R7" s="16">
        <f>-(Psi!S7-Psi!Q7)/(2*p_h)</f>
        <v/>
      </c>
      <c r="S7" s="16">
        <f>-(Psi!T7-Psi!R7)/(2*p_h)</f>
        <v/>
      </c>
      <c r="T7" s="16">
        <f>-(Psi!U7-Psi!S7)/(2*p_h)</f>
        <v/>
      </c>
      <c r="U7" s="16">
        <f>-(Psi!V7-Psi!T7)/(2*p_h)</f>
        <v/>
      </c>
      <c r="V7" s="16">
        <f>-(Psi!W7-Psi!U7)/(2*p_h)</f>
        <v/>
      </c>
      <c r="W7" s="16">
        <f>-(Psi!X7-Psi!V7)/(2*p_h)</f>
        <v/>
      </c>
      <c r="X7" s="16">
        <f>-(Psi!Y7-Psi!W7)/(2*p_h)</f>
        <v/>
      </c>
      <c r="Y7" s="16">
        <f>-(Psi!Z7-Psi!X7)/(2*p_h)</f>
        <v/>
      </c>
      <c r="Z7" s="16">
        <f>-(Psi!AA7-Psi!Y7)/(2*p_h)</f>
        <v/>
      </c>
      <c r="AA7" s="16">
        <f>-(Psi!AB7-Psi!Z7)/(2*p_h)</f>
        <v/>
      </c>
      <c r="AB7" s="16">
        <f>-(Psi!AC7-Psi!AA7)/(2*p_h)</f>
        <v/>
      </c>
      <c r="AC7" s="16">
        <f>-(Psi!AD7-Psi!AB7)/(2*p_h)</f>
        <v/>
      </c>
      <c r="AD7" s="16">
        <f>-(Psi!AE7-Psi!AC7)/(2*p_h)</f>
        <v/>
      </c>
      <c r="AE7" s="16">
        <f>-(Psi!AF7-Psi!AD7)/(2*p_h)</f>
        <v/>
      </c>
      <c r="AF7" s="16">
        <f>-(Psi!AG7-Psi!AE7)/(2*p_h)</f>
        <v/>
      </c>
      <c r="AG7" s="16">
        <f>-(Psi!AH7-Psi!AF7)/(2*p_h)</f>
        <v/>
      </c>
      <c r="AH7" s="16" t="n">
        <v>0</v>
      </c>
    </row>
    <row r="8">
      <c r="A8" s="7">
        <f>A7-p_h</f>
        <v/>
      </c>
      <c r="B8" s="16" t="n">
        <v>0</v>
      </c>
      <c r="C8" s="16">
        <f>-(Psi!D8-Psi!B8)/(2*p_h)</f>
        <v/>
      </c>
      <c r="D8" s="16">
        <f>-(Psi!E8-Psi!C8)/(2*p_h)</f>
        <v/>
      </c>
      <c r="E8" s="16">
        <f>-(Psi!F8-Psi!D8)/(2*p_h)</f>
        <v/>
      </c>
      <c r="F8" s="16">
        <f>-(Psi!G8-Psi!E8)/(2*p_h)</f>
        <v/>
      </c>
      <c r="G8" s="16">
        <f>-(Psi!H8-Psi!F8)/(2*p_h)</f>
        <v/>
      </c>
      <c r="H8" s="16">
        <f>-(Psi!I8-Psi!G8)/(2*p_h)</f>
        <v/>
      </c>
      <c r="I8" s="16">
        <f>-(Psi!J8-Psi!H8)/(2*p_h)</f>
        <v/>
      </c>
      <c r="J8" s="16">
        <f>-(Psi!K8-Psi!I8)/(2*p_h)</f>
        <v/>
      </c>
      <c r="K8" s="16">
        <f>-(Psi!L8-Psi!J8)/(2*p_h)</f>
        <v/>
      </c>
      <c r="L8" s="16">
        <f>-(Psi!M8-Psi!K8)/(2*p_h)</f>
        <v/>
      </c>
      <c r="M8" s="16">
        <f>-(Psi!N8-Psi!L8)/(2*p_h)</f>
        <v/>
      </c>
      <c r="N8" s="16">
        <f>-(Psi!O8-Psi!M8)/(2*p_h)</f>
        <v/>
      </c>
      <c r="O8" s="16">
        <f>-(Psi!P8-Psi!N8)/(2*p_h)</f>
        <v/>
      </c>
      <c r="P8" s="16">
        <f>-(Psi!Q8-Psi!O8)/(2*p_h)</f>
        <v/>
      </c>
      <c r="Q8" s="16">
        <f>-(Psi!R8-Psi!P8)/(2*p_h)</f>
        <v/>
      </c>
      <c r="R8" s="16">
        <f>-(Psi!S8-Psi!Q8)/(2*p_h)</f>
        <v/>
      </c>
      <c r="S8" s="16">
        <f>-(Psi!T8-Psi!R8)/(2*p_h)</f>
        <v/>
      </c>
      <c r="T8" s="16">
        <f>-(Psi!U8-Psi!S8)/(2*p_h)</f>
        <v/>
      </c>
      <c r="U8" s="16">
        <f>-(Psi!V8-Psi!T8)/(2*p_h)</f>
        <v/>
      </c>
      <c r="V8" s="16">
        <f>-(Psi!W8-Psi!U8)/(2*p_h)</f>
        <v/>
      </c>
      <c r="W8" s="16">
        <f>-(Psi!X8-Psi!V8)/(2*p_h)</f>
        <v/>
      </c>
      <c r="X8" s="16">
        <f>-(Psi!Y8-Psi!W8)/(2*p_h)</f>
        <v/>
      </c>
      <c r="Y8" s="16">
        <f>-(Psi!Z8-Psi!X8)/(2*p_h)</f>
        <v/>
      </c>
      <c r="Z8" s="16">
        <f>-(Psi!AA8-Psi!Y8)/(2*p_h)</f>
        <v/>
      </c>
      <c r="AA8" s="16">
        <f>-(Psi!AB8-Psi!Z8)/(2*p_h)</f>
        <v/>
      </c>
      <c r="AB8" s="16">
        <f>-(Psi!AC8-Psi!AA8)/(2*p_h)</f>
        <v/>
      </c>
      <c r="AC8" s="16">
        <f>-(Psi!AD8-Psi!AB8)/(2*p_h)</f>
        <v/>
      </c>
      <c r="AD8" s="16">
        <f>-(Psi!AE8-Psi!AC8)/(2*p_h)</f>
        <v/>
      </c>
      <c r="AE8" s="16">
        <f>-(Psi!AF8-Psi!AD8)/(2*p_h)</f>
        <v/>
      </c>
      <c r="AF8" s="16">
        <f>-(Psi!AG8-Psi!AE8)/(2*p_h)</f>
        <v/>
      </c>
      <c r="AG8" s="16">
        <f>-(Psi!AH8-Psi!AF8)/(2*p_h)</f>
        <v/>
      </c>
      <c r="AH8" s="16" t="n">
        <v>0</v>
      </c>
    </row>
    <row r="9">
      <c r="A9" s="7">
        <f>A8-p_h</f>
        <v/>
      </c>
      <c r="B9" s="16" t="n">
        <v>0</v>
      </c>
      <c r="C9" s="16">
        <f>-(Psi!D9-Psi!B9)/(2*p_h)</f>
        <v/>
      </c>
      <c r="D9" s="16">
        <f>-(Psi!E9-Psi!C9)/(2*p_h)</f>
        <v/>
      </c>
      <c r="E9" s="16">
        <f>-(Psi!F9-Psi!D9)/(2*p_h)</f>
        <v/>
      </c>
      <c r="F9" s="16">
        <f>-(Psi!G9-Psi!E9)/(2*p_h)</f>
        <v/>
      </c>
      <c r="G9" s="16">
        <f>-(Psi!H9-Psi!F9)/(2*p_h)</f>
        <v/>
      </c>
      <c r="H9" s="16">
        <f>-(Psi!I9-Psi!G9)/(2*p_h)</f>
        <v/>
      </c>
      <c r="I9" s="16">
        <f>-(Psi!J9-Psi!H9)/(2*p_h)</f>
        <v/>
      </c>
      <c r="J9" s="16">
        <f>-(Psi!K9-Psi!I9)/(2*p_h)</f>
        <v/>
      </c>
      <c r="K9" s="16">
        <f>-(Psi!L9-Psi!J9)/(2*p_h)</f>
        <v/>
      </c>
      <c r="L9" s="16">
        <f>-(Psi!M9-Psi!K9)/(2*p_h)</f>
        <v/>
      </c>
      <c r="M9" s="16">
        <f>-(Psi!N9-Psi!L9)/(2*p_h)</f>
        <v/>
      </c>
      <c r="N9" s="16">
        <f>-(Psi!O9-Psi!M9)/(2*p_h)</f>
        <v/>
      </c>
      <c r="O9" s="16">
        <f>-(Psi!P9-Psi!N9)/(2*p_h)</f>
        <v/>
      </c>
      <c r="P9" s="16">
        <f>-(Psi!Q9-Psi!O9)/(2*p_h)</f>
        <v/>
      </c>
      <c r="Q9" s="16">
        <f>-(Psi!R9-Psi!P9)/(2*p_h)</f>
        <v/>
      </c>
      <c r="R9" s="16">
        <f>-(Psi!S9-Psi!Q9)/(2*p_h)</f>
        <v/>
      </c>
      <c r="S9" s="16">
        <f>-(Psi!T9-Psi!R9)/(2*p_h)</f>
        <v/>
      </c>
      <c r="T9" s="16">
        <f>-(Psi!U9-Psi!S9)/(2*p_h)</f>
        <v/>
      </c>
      <c r="U9" s="16">
        <f>-(Psi!V9-Psi!T9)/(2*p_h)</f>
        <v/>
      </c>
      <c r="V9" s="16">
        <f>-(Psi!W9-Psi!U9)/(2*p_h)</f>
        <v/>
      </c>
      <c r="W9" s="16">
        <f>-(Psi!X9-Psi!V9)/(2*p_h)</f>
        <v/>
      </c>
      <c r="X9" s="16">
        <f>-(Psi!Y9-Psi!W9)/(2*p_h)</f>
        <v/>
      </c>
      <c r="Y9" s="16">
        <f>-(Psi!Z9-Psi!X9)/(2*p_h)</f>
        <v/>
      </c>
      <c r="Z9" s="16">
        <f>-(Psi!AA9-Psi!Y9)/(2*p_h)</f>
        <v/>
      </c>
      <c r="AA9" s="16">
        <f>-(Psi!AB9-Psi!Z9)/(2*p_h)</f>
        <v/>
      </c>
      <c r="AB9" s="16">
        <f>-(Psi!AC9-Psi!AA9)/(2*p_h)</f>
        <v/>
      </c>
      <c r="AC9" s="16">
        <f>-(Psi!AD9-Psi!AB9)/(2*p_h)</f>
        <v/>
      </c>
      <c r="AD9" s="16">
        <f>-(Psi!AE9-Psi!AC9)/(2*p_h)</f>
        <v/>
      </c>
      <c r="AE9" s="16">
        <f>-(Psi!AF9-Psi!AD9)/(2*p_h)</f>
        <v/>
      </c>
      <c r="AF9" s="16">
        <f>-(Psi!AG9-Psi!AE9)/(2*p_h)</f>
        <v/>
      </c>
      <c r="AG9" s="16">
        <f>-(Psi!AH9-Psi!AF9)/(2*p_h)</f>
        <v/>
      </c>
      <c r="AH9" s="16" t="n">
        <v>0</v>
      </c>
    </row>
    <row r="10">
      <c r="A10" s="7">
        <f>A9-p_h</f>
        <v/>
      </c>
      <c r="B10" s="16" t="n">
        <v>0</v>
      </c>
      <c r="C10" s="16">
        <f>-(Psi!D10-Psi!B10)/(2*p_h)</f>
        <v/>
      </c>
      <c r="D10" s="16">
        <f>-(Psi!E10-Psi!C10)/(2*p_h)</f>
        <v/>
      </c>
      <c r="E10" s="16">
        <f>-(Psi!F10-Psi!D10)/(2*p_h)</f>
        <v/>
      </c>
      <c r="F10" s="16">
        <f>-(Psi!G10-Psi!E10)/(2*p_h)</f>
        <v/>
      </c>
      <c r="G10" s="16">
        <f>-(Psi!H10-Psi!F10)/(2*p_h)</f>
        <v/>
      </c>
      <c r="H10" s="16">
        <f>-(Psi!I10-Psi!G10)/(2*p_h)</f>
        <v/>
      </c>
      <c r="I10" s="16">
        <f>-(Psi!J10-Psi!H10)/(2*p_h)</f>
        <v/>
      </c>
      <c r="J10" s="16">
        <f>-(Psi!K10-Psi!I10)/(2*p_h)</f>
        <v/>
      </c>
      <c r="K10" s="16">
        <f>-(Psi!L10-Psi!J10)/(2*p_h)</f>
        <v/>
      </c>
      <c r="L10" s="16">
        <f>-(Psi!M10-Psi!K10)/(2*p_h)</f>
        <v/>
      </c>
      <c r="M10" s="16">
        <f>-(Psi!N10-Psi!L10)/(2*p_h)</f>
        <v/>
      </c>
      <c r="N10" s="16">
        <f>-(Psi!O10-Psi!M10)/(2*p_h)</f>
        <v/>
      </c>
      <c r="O10" s="16">
        <f>-(Psi!P10-Psi!N10)/(2*p_h)</f>
        <v/>
      </c>
      <c r="P10" s="16">
        <f>-(Psi!Q10-Psi!O10)/(2*p_h)</f>
        <v/>
      </c>
      <c r="Q10" s="16">
        <f>-(Psi!R10-Psi!P10)/(2*p_h)</f>
        <v/>
      </c>
      <c r="R10" s="16">
        <f>-(Psi!S10-Psi!Q10)/(2*p_h)</f>
        <v/>
      </c>
      <c r="S10" s="16">
        <f>-(Psi!T10-Psi!R10)/(2*p_h)</f>
        <v/>
      </c>
      <c r="T10" s="16">
        <f>-(Psi!U10-Psi!S10)/(2*p_h)</f>
        <v/>
      </c>
      <c r="U10" s="16">
        <f>-(Psi!V10-Psi!T10)/(2*p_h)</f>
        <v/>
      </c>
      <c r="V10" s="16">
        <f>-(Psi!W10-Psi!U10)/(2*p_h)</f>
        <v/>
      </c>
      <c r="W10" s="16">
        <f>-(Psi!X10-Psi!V10)/(2*p_h)</f>
        <v/>
      </c>
      <c r="X10" s="16">
        <f>-(Psi!Y10-Psi!W10)/(2*p_h)</f>
        <v/>
      </c>
      <c r="Y10" s="16">
        <f>-(Psi!Z10-Psi!X10)/(2*p_h)</f>
        <v/>
      </c>
      <c r="Z10" s="16">
        <f>-(Psi!AA10-Psi!Y10)/(2*p_h)</f>
        <v/>
      </c>
      <c r="AA10" s="16">
        <f>-(Psi!AB10-Psi!Z10)/(2*p_h)</f>
        <v/>
      </c>
      <c r="AB10" s="16">
        <f>-(Psi!AC10-Psi!AA10)/(2*p_h)</f>
        <v/>
      </c>
      <c r="AC10" s="16">
        <f>-(Psi!AD10-Psi!AB10)/(2*p_h)</f>
        <v/>
      </c>
      <c r="AD10" s="16">
        <f>-(Psi!AE10-Psi!AC10)/(2*p_h)</f>
        <v/>
      </c>
      <c r="AE10" s="16">
        <f>-(Psi!AF10-Psi!AD10)/(2*p_h)</f>
        <v/>
      </c>
      <c r="AF10" s="16">
        <f>-(Psi!AG10-Psi!AE10)/(2*p_h)</f>
        <v/>
      </c>
      <c r="AG10" s="16">
        <f>-(Psi!AH10-Psi!AF10)/(2*p_h)</f>
        <v/>
      </c>
      <c r="AH10" s="16" t="n">
        <v>0</v>
      </c>
    </row>
    <row r="11">
      <c r="A11" s="7">
        <f>A10-p_h</f>
        <v/>
      </c>
      <c r="B11" s="16" t="n">
        <v>0</v>
      </c>
      <c r="C11" s="16">
        <f>-(Psi!D11-Psi!B11)/(2*p_h)</f>
        <v/>
      </c>
      <c r="D11" s="16">
        <f>-(Psi!E11-Psi!C11)/(2*p_h)</f>
        <v/>
      </c>
      <c r="E11" s="16">
        <f>-(Psi!F11-Psi!D11)/(2*p_h)</f>
        <v/>
      </c>
      <c r="F11" s="16">
        <f>-(Psi!G11-Psi!E11)/(2*p_h)</f>
        <v/>
      </c>
      <c r="G11" s="16">
        <f>-(Psi!H11-Psi!F11)/(2*p_h)</f>
        <v/>
      </c>
      <c r="H11" s="16">
        <f>-(Psi!I11-Psi!G11)/(2*p_h)</f>
        <v/>
      </c>
      <c r="I11" s="16">
        <f>-(Psi!J11-Psi!H11)/(2*p_h)</f>
        <v/>
      </c>
      <c r="J11" s="16">
        <f>-(Psi!K11-Psi!I11)/(2*p_h)</f>
        <v/>
      </c>
      <c r="K11" s="16">
        <f>-(Psi!L11-Psi!J11)/(2*p_h)</f>
        <v/>
      </c>
      <c r="L11" s="16">
        <f>-(Psi!M11-Psi!K11)/(2*p_h)</f>
        <v/>
      </c>
      <c r="M11" s="16">
        <f>-(Psi!N11-Psi!L11)/(2*p_h)</f>
        <v/>
      </c>
      <c r="N11" s="16">
        <f>-(Psi!O11-Psi!M11)/(2*p_h)</f>
        <v/>
      </c>
      <c r="O11" s="16">
        <f>-(Psi!P11-Psi!N11)/(2*p_h)</f>
        <v/>
      </c>
      <c r="P11" s="16">
        <f>-(Psi!Q11-Psi!O11)/(2*p_h)</f>
        <v/>
      </c>
      <c r="Q11" s="16">
        <f>-(Psi!R11-Psi!P11)/(2*p_h)</f>
        <v/>
      </c>
      <c r="R11" s="16">
        <f>-(Psi!S11-Psi!Q11)/(2*p_h)</f>
        <v/>
      </c>
      <c r="S11" s="16">
        <f>-(Psi!T11-Psi!R11)/(2*p_h)</f>
        <v/>
      </c>
      <c r="T11" s="16">
        <f>-(Psi!U11-Psi!S11)/(2*p_h)</f>
        <v/>
      </c>
      <c r="U11" s="16">
        <f>-(Psi!V11-Psi!T11)/(2*p_h)</f>
        <v/>
      </c>
      <c r="V11" s="16">
        <f>-(Psi!W11-Psi!U11)/(2*p_h)</f>
        <v/>
      </c>
      <c r="W11" s="16">
        <f>-(Psi!X11-Psi!V11)/(2*p_h)</f>
        <v/>
      </c>
      <c r="X11" s="16">
        <f>-(Psi!Y11-Psi!W11)/(2*p_h)</f>
        <v/>
      </c>
      <c r="Y11" s="16">
        <f>-(Psi!Z11-Psi!X11)/(2*p_h)</f>
        <v/>
      </c>
      <c r="Z11" s="16">
        <f>-(Psi!AA11-Psi!Y11)/(2*p_h)</f>
        <v/>
      </c>
      <c r="AA11" s="16">
        <f>-(Psi!AB11-Psi!Z11)/(2*p_h)</f>
        <v/>
      </c>
      <c r="AB11" s="16">
        <f>-(Psi!AC11-Psi!AA11)/(2*p_h)</f>
        <v/>
      </c>
      <c r="AC11" s="16">
        <f>-(Psi!AD11-Psi!AB11)/(2*p_h)</f>
        <v/>
      </c>
      <c r="AD11" s="16">
        <f>-(Psi!AE11-Psi!AC11)/(2*p_h)</f>
        <v/>
      </c>
      <c r="AE11" s="16">
        <f>-(Psi!AF11-Psi!AD11)/(2*p_h)</f>
        <v/>
      </c>
      <c r="AF11" s="16">
        <f>-(Psi!AG11-Psi!AE11)/(2*p_h)</f>
        <v/>
      </c>
      <c r="AG11" s="16">
        <f>-(Psi!AH11-Psi!AF11)/(2*p_h)</f>
        <v/>
      </c>
      <c r="AH11" s="16" t="n">
        <v>0</v>
      </c>
    </row>
    <row r="12">
      <c r="A12" s="7">
        <f>A11-p_h</f>
        <v/>
      </c>
      <c r="B12" s="16" t="n">
        <v>0</v>
      </c>
      <c r="C12" s="16">
        <f>-(Psi!D12-Psi!B12)/(2*p_h)</f>
        <v/>
      </c>
      <c r="D12" s="16">
        <f>-(Psi!E12-Psi!C12)/(2*p_h)</f>
        <v/>
      </c>
      <c r="E12" s="16">
        <f>-(Psi!F12-Psi!D12)/(2*p_h)</f>
        <v/>
      </c>
      <c r="F12" s="16">
        <f>-(Psi!G12-Psi!E12)/(2*p_h)</f>
        <v/>
      </c>
      <c r="G12" s="16">
        <f>-(Psi!H12-Psi!F12)/(2*p_h)</f>
        <v/>
      </c>
      <c r="H12" s="16">
        <f>-(Psi!I12-Psi!G12)/(2*p_h)</f>
        <v/>
      </c>
      <c r="I12" s="16">
        <f>-(Psi!J12-Psi!H12)/(2*p_h)</f>
        <v/>
      </c>
      <c r="J12" s="16">
        <f>-(Psi!K12-Psi!I12)/(2*p_h)</f>
        <v/>
      </c>
      <c r="K12" s="16">
        <f>-(Psi!L12-Psi!J12)/(2*p_h)</f>
        <v/>
      </c>
      <c r="L12" s="16">
        <f>-(Psi!M12-Psi!K12)/(2*p_h)</f>
        <v/>
      </c>
      <c r="M12" s="16">
        <f>-(Psi!N12-Psi!L12)/(2*p_h)</f>
        <v/>
      </c>
      <c r="N12" s="16">
        <f>-(Psi!O12-Psi!M12)/(2*p_h)</f>
        <v/>
      </c>
      <c r="O12" s="16">
        <f>-(Psi!P12-Psi!N12)/(2*p_h)</f>
        <v/>
      </c>
      <c r="P12" s="16">
        <f>-(Psi!Q12-Psi!O12)/(2*p_h)</f>
        <v/>
      </c>
      <c r="Q12" s="16">
        <f>-(Psi!R12-Psi!P12)/(2*p_h)</f>
        <v/>
      </c>
      <c r="R12" s="16">
        <f>-(Psi!S12-Psi!Q12)/(2*p_h)</f>
        <v/>
      </c>
      <c r="S12" s="16">
        <f>-(Psi!T12-Psi!R12)/(2*p_h)</f>
        <v/>
      </c>
      <c r="T12" s="16">
        <f>-(Psi!U12-Psi!S12)/(2*p_h)</f>
        <v/>
      </c>
      <c r="U12" s="16">
        <f>-(Psi!V12-Psi!T12)/(2*p_h)</f>
        <v/>
      </c>
      <c r="V12" s="16">
        <f>-(Psi!W12-Psi!U12)/(2*p_h)</f>
        <v/>
      </c>
      <c r="W12" s="16">
        <f>-(Psi!X12-Psi!V12)/(2*p_h)</f>
        <v/>
      </c>
      <c r="X12" s="16">
        <f>-(Psi!Y12-Psi!W12)/(2*p_h)</f>
        <v/>
      </c>
      <c r="Y12" s="16">
        <f>-(Psi!Z12-Psi!X12)/(2*p_h)</f>
        <v/>
      </c>
      <c r="Z12" s="16">
        <f>-(Psi!AA12-Psi!Y12)/(2*p_h)</f>
        <v/>
      </c>
      <c r="AA12" s="16">
        <f>-(Psi!AB12-Psi!Z12)/(2*p_h)</f>
        <v/>
      </c>
      <c r="AB12" s="16">
        <f>-(Psi!AC12-Psi!AA12)/(2*p_h)</f>
        <v/>
      </c>
      <c r="AC12" s="16">
        <f>-(Psi!AD12-Psi!AB12)/(2*p_h)</f>
        <v/>
      </c>
      <c r="AD12" s="16">
        <f>-(Psi!AE12-Psi!AC12)/(2*p_h)</f>
        <v/>
      </c>
      <c r="AE12" s="16">
        <f>-(Psi!AF12-Psi!AD12)/(2*p_h)</f>
        <v/>
      </c>
      <c r="AF12" s="16">
        <f>-(Psi!AG12-Psi!AE12)/(2*p_h)</f>
        <v/>
      </c>
      <c r="AG12" s="16">
        <f>-(Psi!AH12-Psi!AF12)/(2*p_h)</f>
        <v/>
      </c>
      <c r="AH12" s="16" t="n">
        <v>0</v>
      </c>
    </row>
    <row r="13">
      <c r="A13" s="7">
        <f>A12-p_h</f>
        <v/>
      </c>
      <c r="B13" s="16" t="n">
        <v>0</v>
      </c>
      <c r="C13" s="16">
        <f>-(Psi!D13-Psi!B13)/(2*p_h)</f>
        <v/>
      </c>
      <c r="D13" s="16">
        <f>-(Psi!E13-Psi!C13)/(2*p_h)</f>
        <v/>
      </c>
      <c r="E13" s="16">
        <f>-(Psi!F13-Psi!D13)/(2*p_h)</f>
        <v/>
      </c>
      <c r="F13" s="16">
        <f>-(Psi!G13-Psi!E13)/(2*p_h)</f>
        <v/>
      </c>
      <c r="G13" s="16">
        <f>-(Psi!H13-Psi!F13)/(2*p_h)</f>
        <v/>
      </c>
      <c r="H13" s="16">
        <f>-(Psi!I13-Psi!G13)/(2*p_h)</f>
        <v/>
      </c>
      <c r="I13" s="16">
        <f>-(Psi!J13-Psi!H13)/(2*p_h)</f>
        <v/>
      </c>
      <c r="J13" s="16">
        <f>-(Psi!K13-Psi!I13)/(2*p_h)</f>
        <v/>
      </c>
      <c r="K13" s="16">
        <f>-(Psi!L13-Psi!J13)/(2*p_h)</f>
        <v/>
      </c>
      <c r="L13" s="16">
        <f>-(Psi!M13-Psi!K13)/(2*p_h)</f>
        <v/>
      </c>
      <c r="M13" s="16">
        <f>-(Psi!N13-Psi!L13)/(2*p_h)</f>
        <v/>
      </c>
      <c r="N13" s="16">
        <f>-(Psi!O13-Psi!M13)/(2*p_h)</f>
        <v/>
      </c>
      <c r="O13" s="16">
        <f>-(Psi!P13-Psi!N13)/(2*p_h)</f>
        <v/>
      </c>
      <c r="P13" s="16">
        <f>-(Psi!Q13-Psi!O13)/(2*p_h)</f>
        <v/>
      </c>
      <c r="Q13" s="16">
        <f>-(Psi!R13-Psi!P13)/(2*p_h)</f>
        <v/>
      </c>
      <c r="R13" s="16">
        <f>-(Psi!S13-Psi!Q13)/(2*p_h)</f>
        <v/>
      </c>
      <c r="S13" s="16">
        <f>-(Psi!T13-Psi!R13)/(2*p_h)</f>
        <v/>
      </c>
      <c r="T13" s="16">
        <f>-(Psi!U13-Psi!S13)/(2*p_h)</f>
        <v/>
      </c>
      <c r="U13" s="16">
        <f>-(Psi!V13-Psi!T13)/(2*p_h)</f>
        <v/>
      </c>
      <c r="V13" s="16">
        <f>-(Psi!W13-Psi!U13)/(2*p_h)</f>
        <v/>
      </c>
      <c r="W13" s="16">
        <f>-(Psi!X13-Psi!V13)/(2*p_h)</f>
        <v/>
      </c>
      <c r="X13" s="16">
        <f>-(Psi!Y13-Psi!W13)/(2*p_h)</f>
        <v/>
      </c>
      <c r="Y13" s="16">
        <f>-(Psi!Z13-Psi!X13)/(2*p_h)</f>
        <v/>
      </c>
      <c r="Z13" s="16">
        <f>-(Psi!AA13-Psi!Y13)/(2*p_h)</f>
        <v/>
      </c>
      <c r="AA13" s="16">
        <f>-(Psi!AB13-Psi!Z13)/(2*p_h)</f>
        <v/>
      </c>
      <c r="AB13" s="16">
        <f>-(Psi!AC13-Psi!AA13)/(2*p_h)</f>
        <v/>
      </c>
      <c r="AC13" s="16">
        <f>-(Psi!AD13-Psi!AB13)/(2*p_h)</f>
        <v/>
      </c>
      <c r="AD13" s="16">
        <f>-(Psi!AE13-Psi!AC13)/(2*p_h)</f>
        <v/>
      </c>
      <c r="AE13" s="16">
        <f>-(Psi!AF13-Psi!AD13)/(2*p_h)</f>
        <v/>
      </c>
      <c r="AF13" s="16">
        <f>-(Psi!AG13-Psi!AE13)/(2*p_h)</f>
        <v/>
      </c>
      <c r="AG13" s="16">
        <f>-(Psi!AH13-Psi!AF13)/(2*p_h)</f>
        <v/>
      </c>
      <c r="AH13" s="16" t="n">
        <v>0</v>
      </c>
    </row>
    <row r="14">
      <c r="A14" s="7">
        <f>A13-p_h</f>
        <v/>
      </c>
      <c r="B14" s="16" t="n">
        <v>0</v>
      </c>
      <c r="C14" s="16">
        <f>-(Psi!D14-Psi!B14)/(2*p_h)</f>
        <v/>
      </c>
      <c r="D14" s="16">
        <f>-(Psi!E14-Psi!C14)/(2*p_h)</f>
        <v/>
      </c>
      <c r="E14" s="16">
        <f>-(Psi!F14-Psi!D14)/(2*p_h)</f>
        <v/>
      </c>
      <c r="F14" s="16">
        <f>-(Psi!G14-Psi!E14)/(2*p_h)</f>
        <v/>
      </c>
      <c r="G14" s="16">
        <f>-(Psi!H14-Psi!F14)/(2*p_h)</f>
        <v/>
      </c>
      <c r="H14" s="16">
        <f>-(Psi!I14-Psi!G14)/(2*p_h)</f>
        <v/>
      </c>
      <c r="I14" s="16">
        <f>-(Psi!J14-Psi!H14)/(2*p_h)</f>
        <v/>
      </c>
      <c r="J14" s="16">
        <f>-(Psi!K14-Psi!I14)/(2*p_h)</f>
        <v/>
      </c>
      <c r="K14" s="16">
        <f>-(Psi!L14-Psi!J14)/(2*p_h)</f>
        <v/>
      </c>
      <c r="L14" s="16">
        <f>-(Psi!M14-Psi!K14)/(2*p_h)</f>
        <v/>
      </c>
      <c r="M14" s="16">
        <f>-(Psi!N14-Psi!L14)/(2*p_h)</f>
        <v/>
      </c>
      <c r="N14" s="16">
        <f>-(Psi!O14-Psi!M14)/(2*p_h)</f>
        <v/>
      </c>
      <c r="O14" s="16">
        <f>-(Psi!P14-Psi!N14)/(2*p_h)</f>
        <v/>
      </c>
      <c r="P14" s="16">
        <f>-(Psi!Q14-Psi!O14)/(2*p_h)</f>
        <v/>
      </c>
      <c r="Q14" s="16">
        <f>-(Psi!R14-Psi!P14)/(2*p_h)</f>
        <v/>
      </c>
      <c r="R14" s="16">
        <f>-(Psi!S14-Psi!Q14)/(2*p_h)</f>
        <v/>
      </c>
      <c r="S14" s="16">
        <f>-(Psi!T14-Psi!R14)/(2*p_h)</f>
        <v/>
      </c>
      <c r="T14" s="16">
        <f>-(Psi!U14-Psi!S14)/(2*p_h)</f>
        <v/>
      </c>
      <c r="U14" s="16">
        <f>-(Psi!V14-Psi!T14)/(2*p_h)</f>
        <v/>
      </c>
      <c r="V14" s="16">
        <f>-(Psi!W14-Psi!U14)/(2*p_h)</f>
        <v/>
      </c>
      <c r="W14" s="16">
        <f>-(Psi!X14-Psi!V14)/(2*p_h)</f>
        <v/>
      </c>
      <c r="X14" s="16">
        <f>-(Psi!Y14-Psi!W14)/(2*p_h)</f>
        <v/>
      </c>
      <c r="Y14" s="16">
        <f>-(Psi!Z14-Psi!X14)/(2*p_h)</f>
        <v/>
      </c>
      <c r="Z14" s="16">
        <f>-(Psi!AA14-Psi!Y14)/(2*p_h)</f>
        <v/>
      </c>
      <c r="AA14" s="16">
        <f>-(Psi!AB14-Psi!Z14)/(2*p_h)</f>
        <v/>
      </c>
      <c r="AB14" s="16">
        <f>-(Psi!AC14-Psi!AA14)/(2*p_h)</f>
        <v/>
      </c>
      <c r="AC14" s="16">
        <f>-(Psi!AD14-Psi!AB14)/(2*p_h)</f>
        <v/>
      </c>
      <c r="AD14" s="16">
        <f>-(Psi!AE14-Psi!AC14)/(2*p_h)</f>
        <v/>
      </c>
      <c r="AE14" s="16">
        <f>-(Psi!AF14-Psi!AD14)/(2*p_h)</f>
        <v/>
      </c>
      <c r="AF14" s="16">
        <f>-(Psi!AG14-Psi!AE14)/(2*p_h)</f>
        <v/>
      </c>
      <c r="AG14" s="16">
        <f>-(Psi!AH14-Psi!AF14)/(2*p_h)</f>
        <v/>
      </c>
      <c r="AH14" s="16" t="n">
        <v>0</v>
      </c>
    </row>
    <row r="15">
      <c r="A15" s="7">
        <f>A14-p_h</f>
        <v/>
      </c>
      <c r="B15" s="16" t="n">
        <v>0</v>
      </c>
      <c r="C15" s="16">
        <f>-(Psi!D15-Psi!B15)/(2*p_h)</f>
        <v/>
      </c>
      <c r="D15" s="16">
        <f>-(Psi!E15-Psi!C15)/(2*p_h)</f>
        <v/>
      </c>
      <c r="E15" s="16">
        <f>-(Psi!F15-Psi!D15)/(2*p_h)</f>
        <v/>
      </c>
      <c r="F15" s="16">
        <f>-(Psi!G15-Psi!E15)/(2*p_h)</f>
        <v/>
      </c>
      <c r="G15" s="16">
        <f>-(Psi!H15-Psi!F15)/(2*p_h)</f>
        <v/>
      </c>
      <c r="H15" s="16">
        <f>-(Psi!I15-Psi!G15)/(2*p_h)</f>
        <v/>
      </c>
      <c r="I15" s="16">
        <f>-(Psi!J15-Psi!H15)/(2*p_h)</f>
        <v/>
      </c>
      <c r="J15" s="16">
        <f>-(Psi!K15-Psi!I15)/(2*p_h)</f>
        <v/>
      </c>
      <c r="K15" s="16">
        <f>-(Psi!L15-Psi!J15)/(2*p_h)</f>
        <v/>
      </c>
      <c r="L15" s="16">
        <f>-(Psi!M15-Psi!K15)/(2*p_h)</f>
        <v/>
      </c>
      <c r="M15" s="16">
        <f>-(Psi!N15-Psi!L15)/(2*p_h)</f>
        <v/>
      </c>
      <c r="N15" s="16">
        <f>-(Psi!O15-Psi!M15)/(2*p_h)</f>
        <v/>
      </c>
      <c r="O15" s="16">
        <f>-(Psi!P15-Psi!N15)/(2*p_h)</f>
        <v/>
      </c>
      <c r="P15" s="16">
        <f>-(Psi!Q15-Psi!O15)/(2*p_h)</f>
        <v/>
      </c>
      <c r="Q15" s="16">
        <f>-(Psi!R15-Psi!P15)/(2*p_h)</f>
        <v/>
      </c>
      <c r="R15" s="16">
        <f>-(Psi!S15-Psi!Q15)/(2*p_h)</f>
        <v/>
      </c>
      <c r="S15" s="16">
        <f>-(Psi!T15-Psi!R15)/(2*p_h)</f>
        <v/>
      </c>
      <c r="T15" s="16">
        <f>-(Psi!U15-Psi!S15)/(2*p_h)</f>
        <v/>
      </c>
      <c r="U15" s="16">
        <f>-(Psi!V15-Psi!T15)/(2*p_h)</f>
        <v/>
      </c>
      <c r="V15" s="16">
        <f>-(Psi!W15-Psi!U15)/(2*p_h)</f>
        <v/>
      </c>
      <c r="W15" s="16">
        <f>-(Psi!X15-Psi!V15)/(2*p_h)</f>
        <v/>
      </c>
      <c r="X15" s="16">
        <f>-(Psi!Y15-Psi!W15)/(2*p_h)</f>
        <v/>
      </c>
      <c r="Y15" s="16">
        <f>-(Psi!Z15-Psi!X15)/(2*p_h)</f>
        <v/>
      </c>
      <c r="Z15" s="16">
        <f>-(Psi!AA15-Psi!Y15)/(2*p_h)</f>
        <v/>
      </c>
      <c r="AA15" s="16">
        <f>-(Psi!AB15-Psi!Z15)/(2*p_h)</f>
        <v/>
      </c>
      <c r="AB15" s="16">
        <f>-(Psi!AC15-Psi!AA15)/(2*p_h)</f>
        <v/>
      </c>
      <c r="AC15" s="16">
        <f>-(Psi!AD15-Psi!AB15)/(2*p_h)</f>
        <v/>
      </c>
      <c r="AD15" s="16">
        <f>-(Psi!AE15-Psi!AC15)/(2*p_h)</f>
        <v/>
      </c>
      <c r="AE15" s="16">
        <f>-(Psi!AF15-Psi!AD15)/(2*p_h)</f>
        <v/>
      </c>
      <c r="AF15" s="16">
        <f>-(Psi!AG15-Psi!AE15)/(2*p_h)</f>
        <v/>
      </c>
      <c r="AG15" s="16">
        <f>-(Psi!AH15-Psi!AF15)/(2*p_h)</f>
        <v/>
      </c>
      <c r="AH15" s="16" t="n">
        <v>0</v>
      </c>
    </row>
    <row r="16">
      <c r="A16" s="7">
        <f>A15-p_h</f>
        <v/>
      </c>
      <c r="B16" s="16" t="n">
        <v>0</v>
      </c>
      <c r="C16" s="16">
        <f>-(Psi!D16-Psi!B16)/(2*p_h)</f>
        <v/>
      </c>
      <c r="D16" s="16">
        <f>-(Psi!E16-Psi!C16)/(2*p_h)</f>
        <v/>
      </c>
      <c r="E16" s="16">
        <f>-(Psi!F16-Psi!D16)/(2*p_h)</f>
        <v/>
      </c>
      <c r="F16" s="16">
        <f>-(Psi!G16-Psi!E16)/(2*p_h)</f>
        <v/>
      </c>
      <c r="G16" s="16">
        <f>-(Psi!H16-Psi!F16)/(2*p_h)</f>
        <v/>
      </c>
      <c r="H16" s="16">
        <f>-(Psi!I16-Psi!G16)/(2*p_h)</f>
        <v/>
      </c>
      <c r="I16" s="16">
        <f>-(Psi!J16-Psi!H16)/(2*p_h)</f>
        <v/>
      </c>
      <c r="J16" s="16">
        <f>-(Psi!K16-Psi!I16)/(2*p_h)</f>
        <v/>
      </c>
      <c r="K16" s="16">
        <f>-(Psi!L16-Psi!J16)/(2*p_h)</f>
        <v/>
      </c>
      <c r="L16" s="16">
        <f>-(Psi!M16-Psi!K16)/(2*p_h)</f>
        <v/>
      </c>
      <c r="M16" s="16">
        <f>-(Psi!N16-Psi!L16)/(2*p_h)</f>
        <v/>
      </c>
      <c r="N16" s="16">
        <f>-(Psi!O16-Psi!M16)/(2*p_h)</f>
        <v/>
      </c>
      <c r="O16" s="16">
        <f>-(Psi!P16-Psi!N16)/(2*p_h)</f>
        <v/>
      </c>
      <c r="P16" s="16">
        <f>-(Psi!Q16-Psi!O16)/(2*p_h)</f>
        <v/>
      </c>
      <c r="Q16" s="16">
        <f>-(Psi!R16-Psi!P16)/(2*p_h)</f>
        <v/>
      </c>
      <c r="R16" s="16">
        <f>-(Psi!S16-Psi!Q16)/(2*p_h)</f>
        <v/>
      </c>
      <c r="S16" s="16">
        <f>-(Psi!T16-Psi!R16)/(2*p_h)</f>
        <v/>
      </c>
      <c r="T16" s="16">
        <f>-(Psi!U16-Psi!S16)/(2*p_h)</f>
        <v/>
      </c>
      <c r="U16" s="16">
        <f>-(Psi!V16-Psi!T16)/(2*p_h)</f>
        <v/>
      </c>
      <c r="V16" s="16">
        <f>-(Psi!W16-Psi!U16)/(2*p_h)</f>
        <v/>
      </c>
      <c r="W16" s="16">
        <f>-(Psi!X16-Psi!V16)/(2*p_h)</f>
        <v/>
      </c>
      <c r="X16" s="16">
        <f>-(Psi!Y16-Psi!W16)/(2*p_h)</f>
        <v/>
      </c>
      <c r="Y16" s="16">
        <f>-(Psi!Z16-Psi!X16)/(2*p_h)</f>
        <v/>
      </c>
      <c r="Z16" s="16">
        <f>-(Psi!AA16-Psi!Y16)/(2*p_h)</f>
        <v/>
      </c>
      <c r="AA16" s="16">
        <f>-(Psi!AB16-Psi!Z16)/(2*p_h)</f>
        <v/>
      </c>
      <c r="AB16" s="16">
        <f>-(Psi!AC16-Psi!AA16)/(2*p_h)</f>
        <v/>
      </c>
      <c r="AC16" s="16">
        <f>-(Psi!AD16-Psi!AB16)/(2*p_h)</f>
        <v/>
      </c>
      <c r="AD16" s="16">
        <f>-(Psi!AE16-Psi!AC16)/(2*p_h)</f>
        <v/>
      </c>
      <c r="AE16" s="16">
        <f>-(Psi!AF16-Psi!AD16)/(2*p_h)</f>
        <v/>
      </c>
      <c r="AF16" s="16">
        <f>-(Psi!AG16-Psi!AE16)/(2*p_h)</f>
        <v/>
      </c>
      <c r="AG16" s="16">
        <f>-(Psi!AH16-Psi!AF16)/(2*p_h)</f>
        <v/>
      </c>
      <c r="AH16" s="16" t="n">
        <v>0</v>
      </c>
    </row>
    <row r="17">
      <c r="A17" s="7">
        <f>A16-p_h</f>
        <v/>
      </c>
      <c r="B17" s="16" t="n">
        <v>0</v>
      </c>
      <c r="C17" s="16">
        <f>-(Psi!D17-Psi!B17)/(2*p_h)</f>
        <v/>
      </c>
      <c r="D17" s="16">
        <f>-(Psi!E17-Psi!C17)/(2*p_h)</f>
        <v/>
      </c>
      <c r="E17" s="16">
        <f>-(Psi!F17-Psi!D17)/(2*p_h)</f>
        <v/>
      </c>
      <c r="F17" s="16">
        <f>-(Psi!G17-Psi!E17)/(2*p_h)</f>
        <v/>
      </c>
      <c r="G17" s="16">
        <f>-(Psi!H17-Psi!F17)/(2*p_h)</f>
        <v/>
      </c>
      <c r="H17" s="16">
        <f>-(Psi!I17-Psi!G17)/(2*p_h)</f>
        <v/>
      </c>
      <c r="I17" s="16">
        <f>-(Psi!J17-Psi!H17)/(2*p_h)</f>
        <v/>
      </c>
      <c r="J17" s="16">
        <f>-(Psi!K17-Psi!I17)/(2*p_h)</f>
        <v/>
      </c>
      <c r="K17" s="16">
        <f>-(Psi!L17-Psi!J17)/(2*p_h)</f>
        <v/>
      </c>
      <c r="L17" s="16">
        <f>-(Psi!M17-Psi!K17)/(2*p_h)</f>
        <v/>
      </c>
      <c r="M17" s="16">
        <f>-(Psi!N17-Psi!L17)/(2*p_h)</f>
        <v/>
      </c>
      <c r="N17" s="16">
        <f>-(Psi!O17-Psi!M17)/(2*p_h)</f>
        <v/>
      </c>
      <c r="O17" s="16">
        <f>-(Psi!P17-Psi!N17)/(2*p_h)</f>
        <v/>
      </c>
      <c r="P17" s="16">
        <f>-(Psi!Q17-Psi!O17)/(2*p_h)</f>
        <v/>
      </c>
      <c r="Q17" s="16">
        <f>-(Psi!R17-Psi!P17)/(2*p_h)</f>
        <v/>
      </c>
      <c r="R17" s="16">
        <f>-(Psi!S17-Psi!Q17)/(2*p_h)</f>
        <v/>
      </c>
      <c r="S17" s="16">
        <f>-(Psi!T17-Psi!R17)/(2*p_h)</f>
        <v/>
      </c>
      <c r="T17" s="16">
        <f>-(Psi!U17-Psi!S17)/(2*p_h)</f>
        <v/>
      </c>
      <c r="U17" s="16">
        <f>-(Psi!V17-Psi!T17)/(2*p_h)</f>
        <v/>
      </c>
      <c r="V17" s="16">
        <f>-(Psi!W17-Psi!U17)/(2*p_h)</f>
        <v/>
      </c>
      <c r="W17" s="16">
        <f>-(Psi!X17-Psi!V17)/(2*p_h)</f>
        <v/>
      </c>
      <c r="X17" s="16">
        <f>-(Psi!Y17-Psi!W17)/(2*p_h)</f>
        <v/>
      </c>
      <c r="Y17" s="16">
        <f>-(Psi!Z17-Psi!X17)/(2*p_h)</f>
        <v/>
      </c>
      <c r="Z17" s="16">
        <f>-(Psi!AA17-Psi!Y17)/(2*p_h)</f>
        <v/>
      </c>
      <c r="AA17" s="16">
        <f>-(Psi!AB17-Psi!Z17)/(2*p_h)</f>
        <v/>
      </c>
      <c r="AB17" s="16">
        <f>-(Psi!AC17-Psi!AA17)/(2*p_h)</f>
        <v/>
      </c>
      <c r="AC17" s="16">
        <f>-(Psi!AD17-Psi!AB17)/(2*p_h)</f>
        <v/>
      </c>
      <c r="AD17" s="16">
        <f>-(Psi!AE17-Psi!AC17)/(2*p_h)</f>
        <v/>
      </c>
      <c r="AE17" s="16">
        <f>-(Psi!AF17-Psi!AD17)/(2*p_h)</f>
        <v/>
      </c>
      <c r="AF17" s="16">
        <f>-(Psi!AG17-Psi!AE17)/(2*p_h)</f>
        <v/>
      </c>
      <c r="AG17" s="16">
        <f>-(Psi!AH17-Psi!AF17)/(2*p_h)</f>
        <v/>
      </c>
      <c r="AH17" s="16" t="n">
        <v>0</v>
      </c>
    </row>
    <row r="18">
      <c r="A18" s="7">
        <f>A17-p_h</f>
        <v/>
      </c>
      <c r="B18" s="16" t="n">
        <v>0</v>
      </c>
      <c r="C18" s="16">
        <f>-(Psi!D18-Psi!B18)/(2*p_h)</f>
        <v/>
      </c>
      <c r="D18" s="16">
        <f>-(Psi!E18-Psi!C18)/(2*p_h)</f>
        <v/>
      </c>
      <c r="E18" s="16">
        <f>-(Psi!F18-Psi!D18)/(2*p_h)</f>
        <v/>
      </c>
      <c r="F18" s="16">
        <f>-(Psi!G18-Psi!E18)/(2*p_h)</f>
        <v/>
      </c>
      <c r="G18" s="16">
        <f>-(Psi!H18-Psi!F18)/(2*p_h)</f>
        <v/>
      </c>
      <c r="H18" s="16">
        <f>-(Psi!I18-Psi!G18)/(2*p_h)</f>
        <v/>
      </c>
      <c r="I18" s="16">
        <f>-(Psi!J18-Psi!H18)/(2*p_h)</f>
        <v/>
      </c>
      <c r="J18" s="16">
        <f>-(Psi!K18-Psi!I18)/(2*p_h)</f>
        <v/>
      </c>
      <c r="K18" s="16">
        <f>-(Psi!L18-Psi!J18)/(2*p_h)</f>
        <v/>
      </c>
      <c r="L18" s="16">
        <f>-(Psi!M18-Psi!K18)/(2*p_h)</f>
        <v/>
      </c>
      <c r="M18" s="16">
        <f>-(Psi!N18-Psi!L18)/(2*p_h)</f>
        <v/>
      </c>
      <c r="N18" s="16">
        <f>-(Psi!O18-Psi!M18)/(2*p_h)</f>
        <v/>
      </c>
      <c r="O18" s="16">
        <f>-(Psi!P18-Psi!N18)/(2*p_h)</f>
        <v/>
      </c>
      <c r="P18" s="16">
        <f>-(Psi!Q18-Psi!O18)/(2*p_h)</f>
        <v/>
      </c>
      <c r="Q18" s="16">
        <f>-(Psi!R18-Psi!P18)/(2*p_h)</f>
        <v/>
      </c>
      <c r="R18" s="16">
        <f>-(Psi!S18-Psi!Q18)/(2*p_h)</f>
        <v/>
      </c>
      <c r="S18" s="16">
        <f>-(Psi!T18-Psi!R18)/(2*p_h)</f>
        <v/>
      </c>
      <c r="T18" s="16">
        <f>-(Psi!U18-Psi!S18)/(2*p_h)</f>
        <v/>
      </c>
      <c r="U18" s="16">
        <f>-(Psi!V18-Psi!T18)/(2*p_h)</f>
        <v/>
      </c>
      <c r="V18" s="16">
        <f>-(Psi!W18-Psi!U18)/(2*p_h)</f>
        <v/>
      </c>
      <c r="W18" s="16">
        <f>-(Psi!X18-Psi!V18)/(2*p_h)</f>
        <v/>
      </c>
      <c r="X18" s="16">
        <f>-(Psi!Y18-Psi!W18)/(2*p_h)</f>
        <v/>
      </c>
      <c r="Y18" s="16">
        <f>-(Psi!Z18-Psi!X18)/(2*p_h)</f>
        <v/>
      </c>
      <c r="Z18" s="16">
        <f>-(Psi!AA18-Psi!Y18)/(2*p_h)</f>
        <v/>
      </c>
      <c r="AA18" s="16">
        <f>-(Psi!AB18-Psi!Z18)/(2*p_h)</f>
        <v/>
      </c>
      <c r="AB18" s="16">
        <f>-(Psi!AC18-Psi!AA18)/(2*p_h)</f>
        <v/>
      </c>
      <c r="AC18" s="16">
        <f>-(Psi!AD18-Psi!AB18)/(2*p_h)</f>
        <v/>
      </c>
      <c r="AD18" s="16">
        <f>-(Psi!AE18-Psi!AC18)/(2*p_h)</f>
        <v/>
      </c>
      <c r="AE18" s="16">
        <f>-(Psi!AF18-Psi!AD18)/(2*p_h)</f>
        <v/>
      </c>
      <c r="AF18" s="16">
        <f>-(Psi!AG18-Psi!AE18)/(2*p_h)</f>
        <v/>
      </c>
      <c r="AG18" s="16">
        <f>-(Psi!AH18-Psi!AF18)/(2*p_h)</f>
        <v/>
      </c>
      <c r="AH18" s="16" t="n">
        <v>0</v>
      </c>
    </row>
    <row r="19">
      <c r="A19" s="7">
        <f>A18-p_h</f>
        <v/>
      </c>
      <c r="B19" s="16" t="n">
        <v>0</v>
      </c>
      <c r="C19" s="16">
        <f>-(Psi!D19-Psi!B19)/(2*p_h)</f>
        <v/>
      </c>
      <c r="D19" s="16">
        <f>-(Psi!E19-Psi!C19)/(2*p_h)</f>
        <v/>
      </c>
      <c r="E19" s="16">
        <f>-(Psi!F19-Psi!D19)/(2*p_h)</f>
        <v/>
      </c>
      <c r="F19" s="16">
        <f>-(Psi!G19-Psi!E19)/(2*p_h)</f>
        <v/>
      </c>
      <c r="G19" s="16">
        <f>-(Psi!H19-Psi!F19)/(2*p_h)</f>
        <v/>
      </c>
      <c r="H19" s="16">
        <f>-(Psi!I19-Psi!G19)/(2*p_h)</f>
        <v/>
      </c>
      <c r="I19" s="16">
        <f>-(Psi!J19-Psi!H19)/(2*p_h)</f>
        <v/>
      </c>
      <c r="J19" s="16">
        <f>-(Psi!K19-Psi!I19)/(2*p_h)</f>
        <v/>
      </c>
      <c r="K19" s="16">
        <f>-(Psi!L19-Psi!J19)/(2*p_h)</f>
        <v/>
      </c>
      <c r="L19" s="16">
        <f>-(Psi!M19-Psi!K19)/(2*p_h)</f>
        <v/>
      </c>
      <c r="M19" s="16">
        <f>-(Psi!N19-Psi!L19)/(2*p_h)</f>
        <v/>
      </c>
      <c r="N19" s="16">
        <f>-(Psi!O19-Psi!M19)/(2*p_h)</f>
        <v/>
      </c>
      <c r="O19" s="16">
        <f>-(Psi!P19-Psi!N19)/(2*p_h)</f>
        <v/>
      </c>
      <c r="P19" s="16">
        <f>-(Psi!Q19-Psi!O19)/(2*p_h)</f>
        <v/>
      </c>
      <c r="Q19" s="16">
        <f>-(Psi!R19-Psi!P19)/(2*p_h)</f>
        <v/>
      </c>
      <c r="R19" s="16">
        <f>-(Psi!S19-Psi!Q19)/(2*p_h)</f>
        <v/>
      </c>
      <c r="S19" s="16">
        <f>-(Psi!T19-Psi!R19)/(2*p_h)</f>
        <v/>
      </c>
      <c r="T19" s="16">
        <f>-(Psi!U19-Psi!S19)/(2*p_h)</f>
        <v/>
      </c>
      <c r="U19" s="16">
        <f>-(Psi!V19-Psi!T19)/(2*p_h)</f>
        <v/>
      </c>
      <c r="V19" s="16">
        <f>-(Psi!W19-Psi!U19)/(2*p_h)</f>
        <v/>
      </c>
      <c r="W19" s="16">
        <f>-(Psi!X19-Psi!V19)/(2*p_h)</f>
        <v/>
      </c>
      <c r="X19" s="16">
        <f>-(Psi!Y19-Psi!W19)/(2*p_h)</f>
        <v/>
      </c>
      <c r="Y19" s="16">
        <f>-(Psi!Z19-Psi!X19)/(2*p_h)</f>
        <v/>
      </c>
      <c r="Z19" s="16">
        <f>-(Psi!AA19-Psi!Y19)/(2*p_h)</f>
        <v/>
      </c>
      <c r="AA19" s="16">
        <f>-(Psi!AB19-Psi!Z19)/(2*p_h)</f>
        <v/>
      </c>
      <c r="AB19" s="16">
        <f>-(Psi!AC19-Psi!AA19)/(2*p_h)</f>
        <v/>
      </c>
      <c r="AC19" s="16">
        <f>-(Psi!AD19-Psi!AB19)/(2*p_h)</f>
        <v/>
      </c>
      <c r="AD19" s="16">
        <f>-(Psi!AE19-Psi!AC19)/(2*p_h)</f>
        <v/>
      </c>
      <c r="AE19" s="16">
        <f>-(Psi!AF19-Psi!AD19)/(2*p_h)</f>
        <v/>
      </c>
      <c r="AF19" s="16">
        <f>-(Psi!AG19-Psi!AE19)/(2*p_h)</f>
        <v/>
      </c>
      <c r="AG19" s="16">
        <f>-(Psi!AH19-Psi!AF19)/(2*p_h)</f>
        <v/>
      </c>
      <c r="AH19" s="16" t="n">
        <v>0</v>
      </c>
    </row>
    <row r="20">
      <c r="A20" s="7">
        <f>A19-p_h</f>
        <v/>
      </c>
      <c r="B20" s="16" t="n">
        <v>0</v>
      </c>
      <c r="C20" s="16">
        <f>-(Psi!D20-Psi!B20)/(2*p_h)</f>
        <v/>
      </c>
      <c r="D20" s="16">
        <f>-(Psi!E20-Psi!C20)/(2*p_h)</f>
        <v/>
      </c>
      <c r="E20" s="16">
        <f>-(Psi!F20-Psi!D20)/(2*p_h)</f>
        <v/>
      </c>
      <c r="F20" s="16">
        <f>-(Psi!G20-Psi!E20)/(2*p_h)</f>
        <v/>
      </c>
      <c r="G20" s="16">
        <f>-(Psi!H20-Psi!F20)/(2*p_h)</f>
        <v/>
      </c>
      <c r="H20" s="16">
        <f>-(Psi!I20-Psi!G20)/(2*p_h)</f>
        <v/>
      </c>
      <c r="I20" s="16">
        <f>-(Psi!J20-Psi!H20)/(2*p_h)</f>
        <v/>
      </c>
      <c r="J20" s="16">
        <f>-(Psi!K20-Psi!I20)/(2*p_h)</f>
        <v/>
      </c>
      <c r="K20" s="16">
        <f>-(Psi!L20-Psi!J20)/(2*p_h)</f>
        <v/>
      </c>
      <c r="L20" s="16">
        <f>-(Psi!M20-Psi!K20)/(2*p_h)</f>
        <v/>
      </c>
      <c r="M20" s="16">
        <f>-(Psi!N20-Psi!L20)/(2*p_h)</f>
        <v/>
      </c>
      <c r="N20" s="16">
        <f>-(Psi!O20-Psi!M20)/(2*p_h)</f>
        <v/>
      </c>
      <c r="O20" s="16">
        <f>-(Psi!P20-Psi!N20)/(2*p_h)</f>
        <v/>
      </c>
      <c r="P20" s="16">
        <f>-(Psi!Q20-Psi!O20)/(2*p_h)</f>
        <v/>
      </c>
      <c r="Q20" s="16">
        <f>-(Psi!R20-Psi!P20)/(2*p_h)</f>
        <v/>
      </c>
      <c r="R20" s="16">
        <f>-(Psi!S20-Psi!Q20)/(2*p_h)</f>
        <v/>
      </c>
      <c r="S20" s="16">
        <f>-(Psi!T20-Psi!R20)/(2*p_h)</f>
        <v/>
      </c>
      <c r="T20" s="16">
        <f>-(Psi!U20-Psi!S20)/(2*p_h)</f>
        <v/>
      </c>
      <c r="U20" s="16">
        <f>-(Psi!V20-Psi!T20)/(2*p_h)</f>
        <v/>
      </c>
      <c r="V20" s="16">
        <f>-(Psi!W20-Psi!U20)/(2*p_h)</f>
        <v/>
      </c>
      <c r="W20" s="16">
        <f>-(Psi!X20-Psi!V20)/(2*p_h)</f>
        <v/>
      </c>
      <c r="X20" s="16">
        <f>-(Psi!Y20-Psi!W20)/(2*p_h)</f>
        <v/>
      </c>
      <c r="Y20" s="16">
        <f>-(Psi!Z20-Psi!X20)/(2*p_h)</f>
        <v/>
      </c>
      <c r="Z20" s="16">
        <f>-(Psi!AA20-Psi!Y20)/(2*p_h)</f>
        <v/>
      </c>
      <c r="AA20" s="16">
        <f>-(Psi!AB20-Psi!Z20)/(2*p_h)</f>
        <v/>
      </c>
      <c r="AB20" s="16">
        <f>-(Psi!AC20-Psi!AA20)/(2*p_h)</f>
        <v/>
      </c>
      <c r="AC20" s="16">
        <f>-(Psi!AD20-Psi!AB20)/(2*p_h)</f>
        <v/>
      </c>
      <c r="AD20" s="16">
        <f>-(Psi!AE20-Psi!AC20)/(2*p_h)</f>
        <v/>
      </c>
      <c r="AE20" s="16">
        <f>-(Psi!AF20-Psi!AD20)/(2*p_h)</f>
        <v/>
      </c>
      <c r="AF20" s="16">
        <f>-(Psi!AG20-Psi!AE20)/(2*p_h)</f>
        <v/>
      </c>
      <c r="AG20" s="16">
        <f>-(Psi!AH20-Psi!AF20)/(2*p_h)</f>
        <v/>
      </c>
      <c r="AH20" s="16" t="n">
        <v>0</v>
      </c>
    </row>
    <row r="21">
      <c r="A21" s="7">
        <f>A20-p_h</f>
        <v/>
      </c>
      <c r="B21" s="16" t="n">
        <v>0</v>
      </c>
      <c r="C21" s="16">
        <f>-(Psi!D21-Psi!B21)/(2*p_h)</f>
        <v/>
      </c>
      <c r="D21" s="16">
        <f>-(Psi!E21-Psi!C21)/(2*p_h)</f>
        <v/>
      </c>
      <c r="E21" s="16">
        <f>-(Psi!F21-Psi!D21)/(2*p_h)</f>
        <v/>
      </c>
      <c r="F21" s="16">
        <f>-(Psi!G21-Psi!E21)/(2*p_h)</f>
        <v/>
      </c>
      <c r="G21" s="16">
        <f>-(Psi!H21-Psi!F21)/(2*p_h)</f>
        <v/>
      </c>
      <c r="H21" s="16">
        <f>-(Psi!I21-Psi!G21)/(2*p_h)</f>
        <v/>
      </c>
      <c r="I21" s="16">
        <f>-(Psi!J21-Psi!H21)/(2*p_h)</f>
        <v/>
      </c>
      <c r="J21" s="16">
        <f>-(Psi!K21-Psi!I21)/(2*p_h)</f>
        <v/>
      </c>
      <c r="K21" s="16">
        <f>-(Psi!L21-Psi!J21)/(2*p_h)</f>
        <v/>
      </c>
      <c r="L21" s="16">
        <f>-(Psi!M21-Psi!K21)/(2*p_h)</f>
        <v/>
      </c>
      <c r="M21" s="16">
        <f>-(Psi!N21-Psi!L21)/(2*p_h)</f>
        <v/>
      </c>
      <c r="N21" s="16">
        <f>-(Psi!O21-Psi!M21)/(2*p_h)</f>
        <v/>
      </c>
      <c r="O21" s="16">
        <f>-(Psi!P21-Psi!N21)/(2*p_h)</f>
        <v/>
      </c>
      <c r="P21" s="16">
        <f>-(Psi!Q21-Psi!O21)/(2*p_h)</f>
        <v/>
      </c>
      <c r="Q21" s="16">
        <f>-(Psi!R21-Psi!P21)/(2*p_h)</f>
        <v/>
      </c>
      <c r="R21" s="16">
        <f>-(Psi!S21-Psi!Q21)/(2*p_h)</f>
        <v/>
      </c>
      <c r="S21" s="16">
        <f>-(Psi!T21-Psi!R21)/(2*p_h)</f>
        <v/>
      </c>
      <c r="T21" s="16">
        <f>-(Psi!U21-Psi!S21)/(2*p_h)</f>
        <v/>
      </c>
      <c r="U21" s="16">
        <f>-(Psi!V21-Psi!T21)/(2*p_h)</f>
        <v/>
      </c>
      <c r="V21" s="16">
        <f>-(Psi!W21-Psi!U21)/(2*p_h)</f>
        <v/>
      </c>
      <c r="W21" s="16">
        <f>-(Psi!X21-Psi!V21)/(2*p_h)</f>
        <v/>
      </c>
      <c r="X21" s="16">
        <f>-(Psi!Y21-Psi!W21)/(2*p_h)</f>
        <v/>
      </c>
      <c r="Y21" s="16">
        <f>-(Psi!Z21-Psi!X21)/(2*p_h)</f>
        <v/>
      </c>
      <c r="Z21" s="16">
        <f>-(Psi!AA21-Psi!Y21)/(2*p_h)</f>
        <v/>
      </c>
      <c r="AA21" s="16">
        <f>-(Psi!AB21-Psi!Z21)/(2*p_h)</f>
        <v/>
      </c>
      <c r="AB21" s="16">
        <f>-(Psi!AC21-Psi!AA21)/(2*p_h)</f>
        <v/>
      </c>
      <c r="AC21" s="16">
        <f>-(Psi!AD21-Psi!AB21)/(2*p_h)</f>
        <v/>
      </c>
      <c r="AD21" s="16">
        <f>-(Psi!AE21-Psi!AC21)/(2*p_h)</f>
        <v/>
      </c>
      <c r="AE21" s="16">
        <f>-(Psi!AF21-Psi!AD21)/(2*p_h)</f>
        <v/>
      </c>
      <c r="AF21" s="16">
        <f>-(Psi!AG21-Psi!AE21)/(2*p_h)</f>
        <v/>
      </c>
      <c r="AG21" s="16">
        <f>-(Psi!AH21-Psi!AF21)/(2*p_h)</f>
        <v/>
      </c>
      <c r="AH21" s="16" t="n">
        <v>0</v>
      </c>
    </row>
    <row r="22">
      <c r="A22" s="7">
        <f>A21-p_h</f>
        <v/>
      </c>
      <c r="B22" s="16" t="n">
        <v>0</v>
      </c>
      <c r="C22" s="16">
        <f>-(Psi!D22-Psi!B22)/(2*p_h)</f>
        <v/>
      </c>
      <c r="D22" s="16">
        <f>-(Psi!E22-Psi!C22)/(2*p_h)</f>
        <v/>
      </c>
      <c r="E22" s="16">
        <f>-(Psi!F22-Psi!D22)/(2*p_h)</f>
        <v/>
      </c>
      <c r="F22" s="16">
        <f>-(Psi!G22-Psi!E22)/(2*p_h)</f>
        <v/>
      </c>
      <c r="G22" s="16">
        <f>-(Psi!H22-Psi!F22)/(2*p_h)</f>
        <v/>
      </c>
      <c r="H22" s="16">
        <f>-(Psi!I22-Psi!G22)/(2*p_h)</f>
        <v/>
      </c>
      <c r="I22" s="16">
        <f>-(Psi!J22-Psi!H22)/(2*p_h)</f>
        <v/>
      </c>
      <c r="J22" s="16">
        <f>-(Psi!K22-Psi!I22)/(2*p_h)</f>
        <v/>
      </c>
      <c r="K22" s="16">
        <f>-(Psi!L22-Psi!J22)/(2*p_h)</f>
        <v/>
      </c>
      <c r="L22" s="16">
        <f>-(Psi!M22-Psi!K22)/(2*p_h)</f>
        <v/>
      </c>
      <c r="M22" s="16">
        <f>-(Psi!N22-Psi!L22)/(2*p_h)</f>
        <v/>
      </c>
      <c r="N22" s="16">
        <f>-(Psi!O22-Psi!M22)/(2*p_h)</f>
        <v/>
      </c>
      <c r="O22" s="16">
        <f>-(Psi!P22-Psi!N22)/(2*p_h)</f>
        <v/>
      </c>
      <c r="P22" s="16">
        <f>-(Psi!Q22-Psi!O22)/(2*p_h)</f>
        <v/>
      </c>
      <c r="Q22" s="16">
        <f>-(Psi!R22-Psi!P22)/(2*p_h)</f>
        <v/>
      </c>
      <c r="R22" s="16">
        <f>-(Psi!S22-Psi!Q22)/(2*p_h)</f>
        <v/>
      </c>
      <c r="S22" s="16">
        <f>-(Psi!T22-Psi!R22)/(2*p_h)</f>
        <v/>
      </c>
      <c r="T22" s="16">
        <f>-(Psi!U22-Psi!S22)/(2*p_h)</f>
        <v/>
      </c>
      <c r="U22" s="16">
        <f>-(Psi!V22-Psi!T22)/(2*p_h)</f>
        <v/>
      </c>
      <c r="V22" s="16">
        <f>-(Psi!W22-Psi!U22)/(2*p_h)</f>
        <v/>
      </c>
      <c r="W22" s="16">
        <f>-(Psi!X22-Psi!V22)/(2*p_h)</f>
        <v/>
      </c>
      <c r="X22" s="16">
        <f>-(Psi!Y22-Psi!W22)/(2*p_h)</f>
        <v/>
      </c>
      <c r="Y22" s="16">
        <f>-(Psi!Z22-Psi!X22)/(2*p_h)</f>
        <v/>
      </c>
      <c r="Z22" s="16">
        <f>-(Psi!AA22-Psi!Y22)/(2*p_h)</f>
        <v/>
      </c>
      <c r="AA22" s="16">
        <f>-(Psi!AB22-Psi!Z22)/(2*p_h)</f>
        <v/>
      </c>
      <c r="AB22" s="16">
        <f>-(Psi!AC22-Psi!AA22)/(2*p_h)</f>
        <v/>
      </c>
      <c r="AC22" s="16">
        <f>-(Psi!AD22-Psi!AB22)/(2*p_h)</f>
        <v/>
      </c>
      <c r="AD22" s="16">
        <f>-(Psi!AE22-Psi!AC22)/(2*p_h)</f>
        <v/>
      </c>
      <c r="AE22" s="16">
        <f>-(Psi!AF22-Psi!AD22)/(2*p_h)</f>
        <v/>
      </c>
      <c r="AF22" s="16">
        <f>-(Psi!AG22-Psi!AE22)/(2*p_h)</f>
        <v/>
      </c>
      <c r="AG22" s="16">
        <f>-(Psi!AH22-Psi!AF22)/(2*p_h)</f>
        <v/>
      </c>
      <c r="AH22" s="16" t="n">
        <v>0</v>
      </c>
    </row>
    <row r="23">
      <c r="A23" s="7">
        <f>A22-p_h</f>
        <v/>
      </c>
      <c r="B23" s="16" t="n">
        <v>0</v>
      </c>
      <c r="C23" s="16">
        <f>-(Psi!D23-Psi!B23)/(2*p_h)</f>
        <v/>
      </c>
      <c r="D23" s="16">
        <f>-(Psi!E23-Psi!C23)/(2*p_h)</f>
        <v/>
      </c>
      <c r="E23" s="16">
        <f>-(Psi!F23-Psi!D23)/(2*p_h)</f>
        <v/>
      </c>
      <c r="F23" s="16">
        <f>-(Psi!G23-Psi!E23)/(2*p_h)</f>
        <v/>
      </c>
      <c r="G23" s="16">
        <f>-(Psi!H23-Psi!F23)/(2*p_h)</f>
        <v/>
      </c>
      <c r="H23" s="16">
        <f>-(Psi!I23-Psi!G23)/(2*p_h)</f>
        <v/>
      </c>
      <c r="I23" s="16">
        <f>-(Psi!J23-Psi!H23)/(2*p_h)</f>
        <v/>
      </c>
      <c r="J23" s="16">
        <f>-(Psi!K23-Psi!I23)/(2*p_h)</f>
        <v/>
      </c>
      <c r="K23" s="16">
        <f>-(Psi!L23-Psi!J23)/(2*p_h)</f>
        <v/>
      </c>
      <c r="L23" s="16">
        <f>-(Psi!M23-Psi!K23)/(2*p_h)</f>
        <v/>
      </c>
      <c r="M23" s="16">
        <f>-(Psi!N23-Psi!L23)/(2*p_h)</f>
        <v/>
      </c>
      <c r="N23" s="16">
        <f>-(Psi!O23-Psi!M23)/(2*p_h)</f>
        <v/>
      </c>
      <c r="O23" s="16">
        <f>-(Psi!P23-Psi!N23)/(2*p_h)</f>
        <v/>
      </c>
      <c r="P23" s="16">
        <f>-(Psi!Q23-Psi!O23)/(2*p_h)</f>
        <v/>
      </c>
      <c r="Q23" s="16">
        <f>-(Psi!R23-Psi!P23)/(2*p_h)</f>
        <v/>
      </c>
      <c r="R23" s="16">
        <f>-(Psi!S23-Psi!Q23)/(2*p_h)</f>
        <v/>
      </c>
      <c r="S23" s="16">
        <f>-(Psi!T23-Psi!R23)/(2*p_h)</f>
        <v/>
      </c>
      <c r="T23" s="16">
        <f>-(Psi!U23-Psi!S23)/(2*p_h)</f>
        <v/>
      </c>
      <c r="U23" s="16">
        <f>-(Psi!V23-Psi!T23)/(2*p_h)</f>
        <v/>
      </c>
      <c r="V23" s="16">
        <f>-(Psi!W23-Psi!U23)/(2*p_h)</f>
        <v/>
      </c>
      <c r="W23" s="16">
        <f>-(Psi!X23-Psi!V23)/(2*p_h)</f>
        <v/>
      </c>
      <c r="X23" s="16">
        <f>-(Psi!Y23-Psi!W23)/(2*p_h)</f>
        <v/>
      </c>
      <c r="Y23" s="16">
        <f>-(Psi!Z23-Psi!X23)/(2*p_h)</f>
        <v/>
      </c>
      <c r="Z23" s="16">
        <f>-(Psi!AA23-Psi!Y23)/(2*p_h)</f>
        <v/>
      </c>
      <c r="AA23" s="16">
        <f>-(Psi!AB23-Psi!Z23)/(2*p_h)</f>
        <v/>
      </c>
      <c r="AB23" s="16">
        <f>-(Psi!AC23-Psi!AA23)/(2*p_h)</f>
        <v/>
      </c>
      <c r="AC23" s="16">
        <f>-(Psi!AD23-Psi!AB23)/(2*p_h)</f>
        <v/>
      </c>
      <c r="AD23" s="16">
        <f>-(Psi!AE23-Psi!AC23)/(2*p_h)</f>
        <v/>
      </c>
      <c r="AE23" s="16">
        <f>-(Psi!AF23-Psi!AD23)/(2*p_h)</f>
        <v/>
      </c>
      <c r="AF23" s="16">
        <f>-(Psi!AG23-Psi!AE23)/(2*p_h)</f>
        <v/>
      </c>
      <c r="AG23" s="16">
        <f>-(Psi!AH23-Psi!AF23)/(2*p_h)</f>
        <v/>
      </c>
      <c r="AH23" s="16" t="n">
        <v>0</v>
      </c>
    </row>
    <row r="24">
      <c r="A24" s="7">
        <f>A23-p_h</f>
        <v/>
      </c>
      <c r="B24" s="16" t="n">
        <v>0</v>
      </c>
      <c r="C24" s="16">
        <f>-(Psi!D24-Psi!B24)/(2*p_h)</f>
        <v/>
      </c>
      <c r="D24" s="16">
        <f>-(Psi!E24-Psi!C24)/(2*p_h)</f>
        <v/>
      </c>
      <c r="E24" s="16">
        <f>-(Psi!F24-Psi!D24)/(2*p_h)</f>
        <v/>
      </c>
      <c r="F24" s="16">
        <f>-(Psi!G24-Psi!E24)/(2*p_h)</f>
        <v/>
      </c>
      <c r="G24" s="16">
        <f>-(Psi!H24-Psi!F24)/(2*p_h)</f>
        <v/>
      </c>
      <c r="H24" s="16">
        <f>-(Psi!I24-Psi!G24)/(2*p_h)</f>
        <v/>
      </c>
      <c r="I24" s="16">
        <f>-(Psi!J24-Psi!H24)/(2*p_h)</f>
        <v/>
      </c>
      <c r="J24" s="16">
        <f>-(Psi!K24-Psi!I24)/(2*p_h)</f>
        <v/>
      </c>
      <c r="K24" s="16">
        <f>-(Psi!L24-Psi!J24)/(2*p_h)</f>
        <v/>
      </c>
      <c r="L24" s="16">
        <f>-(Psi!M24-Psi!K24)/(2*p_h)</f>
        <v/>
      </c>
      <c r="M24" s="16">
        <f>-(Psi!N24-Psi!L24)/(2*p_h)</f>
        <v/>
      </c>
      <c r="N24" s="16">
        <f>-(Psi!O24-Psi!M24)/(2*p_h)</f>
        <v/>
      </c>
      <c r="O24" s="16">
        <f>-(Psi!P24-Psi!N24)/(2*p_h)</f>
        <v/>
      </c>
      <c r="P24" s="16">
        <f>-(Psi!Q24-Psi!O24)/(2*p_h)</f>
        <v/>
      </c>
      <c r="Q24" s="16">
        <f>-(Psi!R24-Psi!P24)/(2*p_h)</f>
        <v/>
      </c>
      <c r="R24" s="16">
        <f>-(Psi!S24-Psi!Q24)/(2*p_h)</f>
        <v/>
      </c>
      <c r="S24" s="16">
        <f>-(Psi!T24-Psi!R24)/(2*p_h)</f>
        <v/>
      </c>
      <c r="T24" s="16">
        <f>-(Psi!U24-Psi!S24)/(2*p_h)</f>
        <v/>
      </c>
      <c r="U24" s="16">
        <f>-(Psi!V24-Psi!T24)/(2*p_h)</f>
        <v/>
      </c>
      <c r="V24" s="16">
        <f>-(Psi!W24-Psi!U24)/(2*p_h)</f>
        <v/>
      </c>
      <c r="W24" s="16">
        <f>-(Psi!X24-Psi!V24)/(2*p_h)</f>
        <v/>
      </c>
      <c r="X24" s="16">
        <f>-(Psi!Y24-Psi!W24)/(2*p_h)</f>
        <v/>
      </c>
      <c r="Y24" s="16">
        <f>-(Psi!Z24-Psi!X24)/(2*p_h)</f>
        <v/>
      </c>
      <c r="Z24" s="16">
        <f>-(Psi!AA24-Psi!Y24)/(2*p_h)</f>
        <v/>
      </c>
      <c r="AA24" s="16">
        <f>-(Psi!AB24-Psi!Z24)/(2*p_h)</f>
        <v/>
      </c>
      <c r="AB24" s="16">
        <f>-(Psi!AC24-Psi!AA24)/(2*p_h)</f>
        <v/>
      </c>
      <c r="AC24" s="16">
        <f>-(Psi!AD24-Psi!AB24)/(2*p_h)</f>
        <v/>
      </c>
      <c r="AD24" s="16">
        <f>-(Psi!AE24-Psi!AC24)/(2*p_h)</f>
        <v/>
      </c>
      <c r="AE24" s="16">
        <f>-(Psi!AF24-Psi!AD24)/(2*p_h)</f>
        <v/>
      </c>
      <c r="AF24" s="16">
        <f>-(Psi!AG24-Psi!AE24)/(2*p_h)</f>
        <v/>
      </c>
      <c r="AG24" s="16">
        <f>-(Psi!AH24-Psi!AF24)/(2*p_h)</f>
        <v/>
      </c>
      <c r="AH24" s="16" t="n">
        <v>0</v>
      </c>
    </row>
    <row r="25">
      <c r="A25" s="7">
        <f>A24-p_h</f>
        <v/>
      </c>
      <c r="B25" s="16" t="n">
        <v>0</v>
      </c>
      <c r="C25" s="16">
        <f>-(Psi!D25-Psi!B25)/(2*p_h)</f>
        <v/>
      </c>
      <c r="D25" s="16">
        <f>-(Psi!E25-Psi!C25)/(2*p_h)</f>
        <v/>
      </c>
      <c r="E25" s="16">
        <f>-(Psi!F25-Psi!D25)/(2*p_h)</f>
        <v/>
      </c>
      <c r="F25" s="16">
        <f>-(Psi!G25-Psi!E25)/(2*p_h)</f>
        <v/>
      </c>
      <c r="G25" s="16">
        <f>-(Psi!H25-Psi!F25)/(2*p_h)</f>
        <v/>
      </c>
      <c r="H25" s="16">
        <f>-(Psi!I25-Psi!G25)/(2*p_h)</f>
        <v/>
      </c>
      <c r="I25" s="16">
        <f>-(Psi!J25-Psi!H25)/(2*p_h)</f>
        <v/>
      </c>
      <c r="J25" s="16">
        <f>-(Psi!K25-Psi!I25)/(2*p_h)</f>
        <v/>
      </c>
      <c r="K25" s="16">
        <f>-(Psi!L25-Psi!J25)/(2*p_h)</f>
        <v/>
      </c>
      <c r="L25" s="16">
        <f>-(Psi!M25-Psi!K25)/(2*p_h)</f>
        <v/>
      </c>
      <c r="M25" s="16">
        <f>-(Psi!N25-Psi!L25)/(2*p_h)</f>
        <v/>
      </c>
      <c r="N25" s="16">
        <f>-(Psi!O25-Psi!M25)/(2*p_h)</f>
        <v/>
      </c>
      <c r="O25" s="16">
        <f>-(Psi!P25-Psi!N25)/(2*p_h)</f>
        <v/>
      </c>
      <c r="P25" s="16">
        <f>-(Psi!Q25-Psi!O25)/(2*p_h)</f>
        <v/>
      </c>
      <c r="Q25" s="16">
        <f>-(Psi!R25-Psi!P25)/(2*p_h)</f>
        <v/>
      </c>
      <c r="R25" s="16">
        <f>-(Psi!S25-Psi!Q25)/(2*p_h)</f>
        <v/>
      </c>
      <c r="S25" s="16">
        <f>-(Psi!T25-Psi!R25)/(2*p_h)</f>
        <v/>
      </c>
      <c r="T25" s="16">
        <f>-(Psi!U25-Psi!S25)/(2*p_h)</f>
        <v/>
      </c>
      <c r="U25" s="16">
        <f>-(Psi!V25-Psi!T25)/(2*p_h)</f>
        <v/>
      </c>
      <c r="V25" s="16">
        <f>-(Psi!W25-Psi!U25)/(2*p_h)</f>
        <v/>
      </c>
      <c r="W25" s="16">
        <f>-(Psi!X25-Psi!V25)/(2*p_h)</f>
        <v/>
      </c>
      <c r="X25" s="16">
        <f>-(Psi!Y25-Psi!W25)/(2*p_h)</f>
        <v/>
      </c>
      <c r="Y25" s="16">
        <f>-(Psi!Z25-Psi!X25)/(2*p_h)</f>
        <v/>
      </c>
      <c r="Z25" s="16">
        <f>-(Psi!AA25-Psi!Y25)/(2*p_h)</f>
        <v/>
      </c>
      <c r="AA25" s="16">
        <f>-(Psi!AB25-Psi!Z25)/(2*p_h)</f>
        <v/>
      </c>
      <c r="AB25" s="16">
        <f>-(Psi!AC25-Psi!AA25)/(2*p_h)</f>
        <v/>
      </c>
      <c r="AC25" s="16">
        <f>-(Psi!AD25-Psi!AB25)/(2*p_h)</f>
        <v/>
      </c>
      <c r="AD25" s="16">
        <f>-(Psi!AE25-Psi!AC25)/(2*p_h)</f>
        <v/>
      </c>
      <c r="AE25" s="16">
        <f>-(Psi!AF25-Psi!AD25)/(2*p_h)</f>
        <v/>
      </c>
      <c r="AF25" s="16">
        <f>-(Psi!AG25-Psi!AE25)/(2*p_h)</f>
        <v/>
      </c>
      <c r="AG25" s="16">
        <f>-(Psi!AH25-Psi!AF25)/(2*p_h)</f>
        <v/>
      </c>
      <c r="AH25" s="16" t="n">
        <v>0</v>
      </c>
    </row>
    <row r="26">
      <c r="A26" s="7">
        <f>A25-p_h</f>
        <v/>
      </c>
      <c r="B26" s="16" t="n">
        <v>0</v>
      </c>
      <c r="C26" s="16">
        <f>-(Psi!D26-Psi!B26)/(2*p_h)</f>
        <v/>
      </c>
      <c r="D26" s="16">
        <f>-(Psi!E26-Psi!C26)/(2*p_h)</f>
        <v/>
      </c>
      <c r="E26" s="16">
        <f>-(Psi!F26-Psi!D26)/(2*p_h)</f>
        <v/>
      </c>
      <c r="F26" s="16">
        <f>-(Psi!G26-Psi!E26)/(2*p_h)</f>
        <v/>
      </c>
      <c r="G26" s="16">
        <f>-(Psi!H26-Psi!F26)/(2*p_h)</f>
        <v/>
      </c>
      <c r="H26" s="16">
        <f>-(Psi!I26-Psi!G26)/(2*p_h)</f>
        <v/>
      </c>
      <c r="I26" s="16">
        <f>-(Psi!J26-Psi!H26)/(2*p_h)</f>
        <v/>
      </c>
      <c r="J26" s="16">
        <f>-(Psi!K26-Psi!I26)/(2*p_h)</f>
        <v/>
      </c>
      <c r="K26" s="16">
        <f>-(Psi!L26-Psi!J26)/(2*p_h)</f>
        <v/>
      </c>
      <c r="L26" s="16">
        <f>-(Psi!M26-Psi!K26)/(2*p_h)</f>
        <v/>
      </c>
      <c r="M26" s="16">
        <f>-(Psi!N26-Psi!L26)/(2*p_h)</f>
        <v/>
      </c>
      <c r="N26" s="16">
        <f>-(Psi!O26-Psi!M26)/(2*p_h)</f>
        <v/>
      </c>
      <c r="O26" s="16">
        <f>-(Psi!P26-Psi!N26)/(2*p_h)</f>
        <v/>
      </c>
      <c r="P26" s="16">
        <f>-(Psi!Q26-Psi!O26)/(2*p_h)</f>
        <v/>
      </c>
      <c r="Q26" s="16">
        <f>-(Psi!R26-Psi!P26)/(2*p_h)</f>
        <v/>
      </c>
      <c r="R26" s="16">
        <f>-(Psi!S26-Psi!Q26)/(2*p_h)</f>
        <v/>
      </c>
      <c r="S26" s="16">
        <f>-(Psi!T26-Psi!R26)/(2*p_h)</f>
        <v/>
      </c>
      <c r="T26" s="16">
        <f>-(Psi!U26-Psi!S26)/(2*p_h)</f>
        <v/>
      </c>
      <c r="U26" s="16">
        <f>-(Psi!V26-Psi!T26)/(2*p_h)</f>
        <v/>
      </c>
      <c r="V26" s="16">
        <f>-(Psi!W26-Psi!U26)/(2*p_h)</f>
        <v/>
      </c>
      <c r="W26" s="16">
        <f>-(Psi!X26-Psi!V26)/(2*p_h)</f>
        <v/>
      </c>
      <c r="X26" s="16">
        <f>-(Psi!Y26-Psi!W26)/(2*p_h)</f>
        <v/>
      </c>
      <c r="Y26" s="16">
        <f>-(Psi!Z26-Psi!X26)/(2*p_h)</f>
        <v/>
      </c>
      <c r="Z26" s="16">
        <f>-(Psi!AA26-Psi!Y26)/(2*p_h)</f>
        <v/>
      </c>
      <c r="AA26" s="16">
        <f>-(Psi!AB26-Psi!Z26)/(2*p_h)</f>
        <v/>
      </c>
      <c r="AB26" s="16">
        <f>-(Psi!AC26-Psi!AA26)/(2*p_h)</f>
        <v/>
      </c>
      <c r="AC26" s="16">
        <f>-(Psi!AD26-Psi!AB26)/(2*p_h)</f>
        <v/>
      </c>
      <c r="AD26" s="16">
        <f>-(Psi!AE26-Psi!AC26)/(2*p_h)</f>
        <v/>
      </c>
      <c r="AE26" s="16">
        <f>-(Psi!AF26-Psi!AD26)/(2*p_h)</f>
        <v/>
      </c>
      <c r="AF26" s="16">
        <f>-(Psi!AG26-Psi!AE26)/(2*p_h)</f>
        <v/>
      </c>
      <c r="AG26" s="16">
        <f>-(Psi!AH26-Psi!AF26)/(2*p_h)</f>
        <v/>
      </c>
      <c r="AH26" s="16" t="n">
        <v>0</v>
      </c>
    </row>
    <row r="27">
      <c r="A27" s="7">
        <f>A26-p_h</f>
        <v/>
      </c>
      <c r="B27" s="16" t="n">
        <v>0</v>
      </c>
      <c r="C27" s="16">
        <f>-(Psi!D27-Psi!B27)/(2*p_h)</f>
        <v/>
      </c>
      <c r="D27" s="16">
        <f>-(Psi!E27-Psi!C27)/(2*p_h)</f>
        <v/>
      </c>
      <c r="E27" s="16">
        <f>-(Psi!F27-Psi!D27)/(2*p_h)</f>
        <v/>
      </c>
      <c r="F27" s="16">
        <f>-(Psi!G27-Psi!E27)/(2*p_h)</f>
        <v/>
      </c>
      <c r="G27" s="16">
        <f>-(Psi!H27-Psi!F27)/(2*p_h)</f>
        <v/>
      </c>
      <c r="H27" s="16">
        <f>-(Psi!I27-Psi!G27)/(2*p_h)</f>
        <v/>
      </c>
      <c r="I27" s="16">
        <f>-(Psi!J27-Psi!H27)/(2*p_h)</f>
        <v/>
      </c>
      <c r="J27" s="16">
        <f>-(Psi!K27-Psi!I27)/(2*p_h)</f>
        <v/>
      </c>
      <c r="K27" s="16">
        <f>-(Psi!L27-Psi!J27)/(2*p_h)</f>
        <v/>
      </c>
      <c r="L27" s="16">
        <f>-(Psi!M27-Psi!K27)/(2*p_h)</f>
        <v/>
      </c>
      <c r="M27" s="16">
        <f>-(Psi!N27-Psi!L27)/(2*p_h)</f>
        <v/>
      </c>
      <c r="N27" s="16">
        <f>-(Psi!O27-Psi!M27)/(2*p_h)</f>
        <v/>
      </c>
      <c r="O27" s="16">
        <f>-(Psi!P27-Psi!N27)/(2*p_h)</f>
        <v/>
      </c>
      <c r="P27" s="16">
        <f>-(Psi!Q27-Psi!O27)/(2*p_h)</f>
        <v/>
      </c>
      <c r="Q27" s="16">
        <f>-(Psi!R27-Psi!P27)/(2*p_h)</f>
        <v/>
      </c>
      <c r="R27" s="16">
        <f>-(Psi!S27-Psi!Q27)/(2*p_h)</f>
        <v/>
      </c>
      <c r="S27" s="16">
        <f>-(Psi!T27-Psi!R27)/(2*p_h)</f>
        <v/>
      </c>
      <c r="T27" s="16">
        <f>-(Psi!U27-Psi!S27)/(2*p_h)</f>
        <v/>
      </c>
      <c r="U27" s="16">
        <f>-(Psi!V27-Psi!T27)/(2*p_h)</f>
        <v/>
      </c>
      <c r="V27" s="16">
        <f>-(Psi!W27-Psi!U27)/(2*p_h)</f>
        <v/>
      </c>
      <c r="W27" s="16">
        <f>-(Psi!X27-Psi!V27)/(2*p_h)</f>
        <v/>
      </c>
      <c r="X27" s="16">
        <f>-(Psi!Y27-Psi!W27)/(2*p_h)</f>
        <v/>
      </c>
      <c r="Y27" s="16">
        <f>-(Psi!Z27-Psi!X27)/(2*p_h)</f>
        <v/>
      </c>
      <c r="Z27" s="16">
        <f>-(Psi!AA27-Psi!Y27)/(2*p_h)</f>
        <v/>
      </c>
      <c r="AA27" s="16">
        <f>-(Psi!AB27-Psi!Z27)/(2*p_h)</f>
        <v/>
      </c>
      <c r="AB27" s="16">
        <f>-(Psi!AC27-Psi!AA27)/(2*p_h)</f>
        <v/>
      </c>
      <c r="AC27" s="16">
        <f>-(Psi!AD27-Psi!AB27)/(2*p_h)</f>
        <v/>
      </c>
      <c r="AD27" s="16">
        <f>-(Psi!AE27-Psi!AC27)/(2*p_h)</f>
        <v/>
      </c>
      <c r="AE27" s="16">
        <f>-(Psi!AF27-Psi!AD27)/(2*p_h)</f>
        <v/>
      </c>
      <c r="AF27" s="16">
        <f>-(Psi!AG27-Psi!AE27)/(2*p_h)</f>
        <v/>
      </c>
      <c r="AG27" s="16">
        <f>-(Psi!AH27-Psi!AF27)/(2*p_h)</f>
        <v/>
      </c>
      <c r="AH27" s="16" t="n">
        <v>0</v>
      </c>
    </row>
    <row r="28">
      <c r="A28" s="7">
        <f>A27-p_h</f>
        <v/>
      </c>
      <c r="B28" s="16" t="n">
        <v>0</v>
      </c>
      <c r="C28" s="16">
        <f>-(Psi!D28-Psi!B28)/(2*p_h)</f>
        <v/>
      </c>
      <c r="D28" s="16">
        <f>-(Psi!E28-Psi!C28)/(2*p_h)</f>
        <v/>
      </c>
      <c r="E28" s="16">
        <f>-(Psi!F28-Psi!D28)/(2*p_h)</f>
        <v/>
      </c>
      <c r="F28" s="16">
        <f>-(Psi!G28-Psi!E28)/(2*p_h)</f>
        <v/>
      </c>
      <c r="G28" s="16">
        <f>-(Psi!H28-Psi!F28)/(2*p_h)</f>
        <v/>
      </c>
      <c r="H28" s="16">
        <f>-(Psi!I28-Psi!G28)/(2*p_h)</f>
        <v/>
      </c>
      <c r="I28" s="16">
        <f>-(Psi!J28-Psi!H28)/(2*p_h)</f>
        <v/>
      </c>
      <c r="J28" s="16">
        <f>-(Psi!K28-Psi!I28)/(2*p_h)</f>
        <v/>
      </c>
      <c r="K28" s="16">
        <f>-(Psi!L28-Psi!J28)/(2*p_h)</f>
        <v/>
      </c>
      <c r="L28" s="16">
        <f>-(Psi!M28-Psi!K28)/(2*p_h)</f>
        <v/>
      </c>
      <c r="M28" s="16">
        <f>-(Psi!N28-Psi!L28)/(2*p_h)</f>
        <v/>
      </c>
      <c r="N28" s="16">
        <f>-(Psi!O28-Psi!M28)/(2*p_h)</f>
        <v/>
      </c>
      <c r="O28" s="16">
        <f>-(Psi!P28-Psi!N28)/(2*p_h)</f>
        <v/>
      </c>
      <c r="P28" s="16">
        <f>-(Psi!Q28-Psi!O28)/(2*p_h)</f>
        <v/>
      </c>
      <c r="Q28" s="16">
        <f>-(Psi!R28-Psi!P28)/(2*p_h)</f>
        <v/>
      </c>
      <c r="R28" s="16">
        <f>-(Psi!S28-Psi!Q28)/(2*p_h)</f>
        <v/>
      </c>
      <c r="S28" s="16">
        <f>-(Psi!T28-Psi!R28)/(2*p_h)</f>
        <v/>
      </c>
      <c r="T28" s="16">
        <f>-(Psi!U28-Psi!S28)/(2*p_h)</f>
        <v/>
      </c>
      <c r="U28" s="16">
        <f>-(Psi!V28-Psi!T28)/(2*p_h)</f>
        <v/>
      </c>
      <c r="V28" s="16">
        <f>-(Psi!W28-Psi!U28)/(2*p_h)</f>
        <v/>
      </c>
      <c r="W28" s="16">
        <f>-(Psi!X28-Psi!V28)/(2*p_h)</f>
        <v/>
      </c>
      <c r="X28" s="16">
        <f>-(Psi!Y28-Psi!W28)/(2*p_h)</f>
        <v/>
      </c>
      <c r="Y28" s="16">
        <f>-(Psi!Z28-Psi!X28)/(2*p_h)</f>
        <v/>
      </c>
      <c r="Z28" s="16">
        <f>-(Psi!AA28-Psi!Y28)/(2*p_h)</f>
        <v/>
      </c>
      <c r="AA28" s="16">
        <f>-(Psi!AB28-Psi!Z28)/(2*p_h)</f>
        <v/>
      </c>
      <c r="AB28" s="16">
        <f>-(Psi!AC28-Psi!AA28)/(2*p_h)</f>
        <v/>
      </c>
      <c r="AC28" s="16">
        <f>-(Psi!AD28-Psi!AB28)/(2*p_h)</f>
        <v/>
      </c>
      <c r="AD28" s="16">
        <f>-(Psi!AE28-Psi!AC28)/(2*p_h)</f>
        <v/>
      </c>
      <c r="AE28" s="16">
        <f>-(Psi!AF28-Psi!AD28)/(2*p_h)</f>
        <v/>
      </c>
      <c r="AF28" s="16">
        <f>-(Psi!AG28-Psi!AE28)/(2*p_h)</f>
        <v/>
      </c>
      <c r="AG28" s="16">
        <f>-(Psi!AH28-Psi!AF28)/(2*p_h)</f>
        <v/>
      </c>
      <c r="AH28" s="16" t="n">
        <v>0</v>
      </c>
    </row>
    <row r="29">
      <c r="A29" s="7">
        <f>A28-p_h</f>
        <v/>
      </c>
      <c r="B29" s="16" t="n">
        <v>0</v>
      </c>
      <c r="C29" s="16">
        <f>-(Psi!D29-Psi!B29)/(2*p_h)</f>
        <v/>
      </c>
      <c r="D29" s="16">
        <f>-(Psi!E29-Psi!C29)/(2*p_h)</f>
        <v/>
      </c>
      <c r="E29" s="16">
        <f>-(Psi!F29-Psi!D29)/(2*p_h)</f>
        <v/>
      </c>
      <c r="F29" s="16">
        <f>-(Psi!G29-Psi!E29)/(2*p_h)</f>
        <v/>
      </c>
      <c r="G29" s="16">
        <f>-(Psi!H29-Psi!F29)/(2*p_h)</f>
        <v/>
      </c>
      <c r="H29" s="16">
        <f>-(Psi!I29-Psi!G29)/(2*p_h)</f>
        <v/>
      </c>
      <c r="I29" s="16">
        <f>-(Psi!J29-Psi!H29)/(2*p_h)</f>
        <v/>
      </c>
      <c r="J29" s="16">
        <f>-(Psi!K29-Psi!I29)/(2*p_h)</f>
        <v/>
      </c>
      <c r="K29" s="16">
        <f>-(Psi!L29-Psi!J29)/(2*p_h)</f>
        <v/>
      </c>
      <c r="L29" s="16">
        <f>-(Psi!M29-Psi!K29)/(2*p_h)</f>
        <v/>
      </c>
      <c r="M29" s="16">
        <f>-(Psi!N29-Psi!L29)/(2*p_h)</f>
        <v/>
      </c>
      <c r="N29" s="16">
        <f>-(Psi!O29-Psi!M29)/(2*p_h)</f>
        <v/>
      </c>
      <c r="O29" s="16">
        <f>-(Psi!P29-Psi!N29)/(2*p_h)</f>
        <v/>
      </c>
      <c r="P29" s="16">
        <f>-(Psi!Q29-Psi!O29)/(2*p_h)</f>
        <v/>
      </c>
      <c r="Q29" s="16">
        <f>-(Psi!R29-Psi!P29)/(2*p_h)</f>
        <v/>
      </c>
      <c r="R29" s="16">
        <f>-(Psi!S29-Psi!Q29)/(2*p_h)</f>
        <v/>
      </c>
      <c r="S29" s="16">
        <f>-(Psi!T29-Psi!R29)/(2*p_h)</f>
        <v/>
      </c>
      <c r="T29" s="16">
        <f>-(Psi!U29-Psi!S29)/(2*p_h)</f>
        <v/>
      </c>
      <c r="U29" s="16">
        <f>-(Psi!V29-Psi!T29)/(2*p_h)</f>
        <v/>
      </c>
      <c r="V29" s="16">
        <f>-(Psi!W29-Psi!U29)/(2*p_h)</f>
        <v/>
      </c>
      <c r="W29" s="16">
        <f>-(Psi!X29-Psi!V29)/(2*p_h)</f>
        <v/>
      </c>
      <c r="X29" s="16">
        <f>-(Psi!Y29-Psi!W29)/(2*p_h)</f>
        <v/>
      </c>
      <c r="Y29" s="16">
        <f>-(Psi!Z29-Psi!X29)/(2*p_h)</f>
        <v/>
      </c>
      <c r="Z29" s="16">
        <f>-(Psi!AA29-Psi!Y29)/(2*p_h)</f>
        <v/>
      </c>
      <c r="AA29" s="16">
        <f>-(Psi!AB29-Psi!Z29)/(2*p_h)</f>
        <v/>
      </c>
      <c r="AB29" s="16">
        <f>-(Psi!AC29-Psi!AA29)/(2*p_h)</f>
        <v/>
      </c>
      <c r="AC29" s="16">
        <f>-(Psi!AD29-Psi!AB29)/(2*p_h)</f>
        <v/>
      </c>
      <c r="AD29" s="16">
        <f>-(Psi!AE29-Psi!AC29)/(2*p_h)</f>
        <v/>
      </c>
      <c r="AE29" s="16">
        <f>-(Psi!AF29-Psi!AD29)/(2*p_h)</f>
        <v/>
      </c>
      <c r="AF29" s="16">
        <f>-(Psi!AG29-Psi!AE29)/(2*p_h)</f>
        <v/>
      </c>
      <c r="AG29" s="16">
        <f>-(Psi!AH29-Psi!AF29)/(2*p_h)</f>
        <v/>
      </c>
      <c r="AH29" s="16" t="n">
        <v>0</v>
      </c>
    </row>
    <row r="30">
      <c r="A30" s="7">
        <f>A29-p_h</f>
        <v/>
      </c>
      <c r="B30" s="16" t="n">
        <v>0</v>
      </c>
      <c r="C30" s="16">
        <f>-(Psi!D30-Psi!B30)/(2*p_h)</f>
        <v/>
      </c>
      <c r="D30" s="16">
        <f>-(Psi!E30-Psi!C30)/(2*p_h)</f>
        <v/>
      </c>
      <c r="E30" s="16">
        <f>-(Psi!F30-Psi!D30)/(2*p_h)</f>
        <v/>
      </c>
      <c r="F30" s="16">
        <f>-(Psi!G30-Psi!E30)/(2*p_h)</f>
        <v/>
      </c>
      <c r="G30" s="16">
        <f>-(Psi!H30-Psi!F30)/(2*p_h)</f>
        <v/>
      </c>
      <c r="H30" s="16">
        <f>-(Psi!I30-Psi!G30)/(2*p_h)</f>
        <v/>
      </c>
      <c r="I30" s="16">
        <f>-(Psi!J30-Psi!H30)/(2*p_h)</f>
        <v/>
      </c>
      <c r="J30" s="16">
        <f>-(Psi!K30-Psi!I30)/(2*p_h)</f>
        <v/>
      </c>
      <c r="K30" s="16">
        <f>-(Psi!L30-Psi!J30)/(2*p_h)</f>
        <v/>
      </c>
      <c r="L30" s="16">
        <f>-(Psi!M30-Psi!K30)/(2*p_h)</f>
        <v/>
      </c>
      <c r="M30" s="16">
        <f>-(Psi!N30-Psi!L30)/(2*p_h)</f>
        <v/>
      </c>
      <c r="N30" s="16">
        <f>-(Psi!O30-Psi!M30)/(2*p_h)</f>
        <v/>
      </c>
      <c r="O30" s="16">
        <f>-(Psi!P30-Psi!N30)/(2*p_h)</f>
        <v/>
      </c>
      <c r="P30" s="16">
        <f>-(Psi!Q30-Psi!O30)/(2*p_h)</f>
        <v/>
      </c>
      <c r="Q30" s="16">
        <f>-(Psi!R30-Psi!P30)/(2*p_h)</f>
        <v/>
      </c>
      <c r="R30" s="16">
        <f>-(Psi!S30-Psi!Q30)/(2*p_h)</f>
        <v/>
      </c>
      <c r="S30" s="16">
        <f>-(Psi!T30-Psi!R30)/(2*p_h)</f>
        <v/>
      </c>
      <c r="T30" s="16">
        <f>-(Psi!U30-Psi!S30)/(2*p_h)</f>
        <v/>
      </c>
      <c r="U30" s="16">
        <f>-(Psi!V30-Psi!T30)/(2*p_h)</f>
        <v/>
      </c>
      <c r="V30" s="16">
        <f>-(Psi!W30-Psi!U30)/(2*p_h)</f>
        <v/>
      </c>
      <c r="W30" s="16">
        <f>-(Psi!X30-Psi!V30)/(2*p_h)</f>
        <v/>
      </c>
      <c r="X30" s="16">
        <f>-(Psi!Y30-Psi!W30)/(2*p_h)</f>
        <v/>
      </c>
      <c r="Y30" s="16">
        <f>-(Psi!Z30-Psi!X30)/(2*p_h)</f>
        <v/>
      </c>
      <c r="Z30" s="16">
        <f>-(Psi!AA30-Psi!Y30)/(2*p_h)</f>
        <v/>
      </c>
      <c r="AA30" s="16">
        <f>-(Psi!AB30-Psi!Z30)/(2*p_h)</f>
        <v/>
      </c>
      <c r="AB30" s="16">
        <f>-(Psi!AC30-Psi!AA30)/(2*p_h)</f>
        <v/>
      </c>
      <c r="AC30" s="16">
        <f>-(Psi!AD30-Psi!AB30)/(2*p_h)</f>
        <v/>
      </c>
      <c r="AD30" s="16">
        <f>-(Psi!AE30-Psi!AC30)/(2*p_h)</f>
        <v/>
      </c>
      <c r="AE30" s="16">
        <f>-(Psi!AF30-Psi!AD30)/(2*p_h)</f>
        <v/>
      </c>
      <c r="AF30" s="16">
        <f>-(Psi!AG30-Psi!AE30)/(2*p_h)</f>
        <v/>
      </c>
      <c r="AG30" s="16">
        <f>-(Psi!AH30-Psi!AF30)/(2*p_h)</f>
        <v/>
      </c>
      <c r="AH30" s="16" t="n">
        <v>0</v>
      </c>
    </row>
    <row r="31">
      <c r="A31" s="7">
        <f>A30-p_h</f>
        <v/>
      </c>
      <c r="B31" s="16" t="n">
        <v>0</v>
      </c>
      <c r="C31" s="16">
        <f>-(Psi!D31-Psi!B31)/(2*p_h)</f>
        <v/>
      </c>
      <c r="D31" s="16">
        <f>-(Psi!E31-Psi!C31)/(2*p_h)</f>
        <v/>
      </c>
      <c r="E31" s="16">
        <f>-(Psi!F31-Psi!D31)/(2*p_h)</f>
        <v/>
      </c>
      <c r="F31" s="16">
        <f>-(Psi!G31-Psi!E31)/(2*p_h)</f>
        <v/>
      </c>
      <c r="G31" s="16">
        <f>-(Psi!H31-Psi!F31)/(2*p_h)</f>
        <v/>
      </c>
      <c r="H31" s="16">
        <f>-(Psi!I31-Psi!G31)/(2*p_h)</f>
        <v/>
      </c>
      <c r="I31" s="16">
        <f>-(Psi!J31-Psi!H31)/(2*p_h)</f>
        <v/>
      </c>
      <c r="J31" s="16">
        <f>-(Psi!K31-Psi!I31)/(2*p_h)</f>
        <v/>
      </c>
      <c r="K31" s="16">
        <f>-(Psi!L31-Psi!J31)/(2*p_h)</f>
        <v/>
      </c>
      <c r="L31" s="16">
        <f>-(Psi!M31-Psi!K31)/(2*p_h)</f>
        <v/>
      </c>
      <c r="M31" s="16">
        <f>-(Psi!N31-Psi!L31)/(2*p_h)</f>
        <v/>
      </c>
      <c r="N31" s="16">
        <f>-(Psi!O31-Psi!M31)/(2*p_h)</f>
        <v/>
      </c>
      <c r="O31" s="16">
        <f>-(Psi!P31-Psi!N31)/(2*p_h)</f>
        <v/>
      </c>
      <c r="P31" s="16">
        <f>-(Psi!Q31-Psi!O31)/(2*p_h)</f>
        <v/>
      </c>
      <c r="Q31" s="16">
        <f>-(Psi!R31-Psi!P31)/(2*p_h)</f>
        <v/>
      </c>
      <c r="R31" s="16">
        <f>-(Psi!S31-Psi!Q31)/(2*p_h)</f>
        <v/>
      </c>
      <c r="S31" s="16">
        <f>-(Psi!T31-Psi!R31)/(2*p_h)</f>
        <v/>
      </c>
      <c r="T31" s="16">
        <f>-(Psi!U31-Psi!S31)/(2*p_h)</f>
        <v/>
      </c>
      <c r="U31" s="16">
        <f>-(Psi!V31-Psi!T31)/(2*p_h)</f>
        <v/>
      </c>
      <c r="V31" s="16">
        <f>-(Psi!W31-Psi!U31)/(2*p_h)</f>
        <v/>
      </c>
      <c r="W31" s="16">
        <f>-(Psi!X31-Psi!V31)/(2*p_h)</f>
        <v/>
      </c>
      <c r="X31" s="16">
        <f>-(Psi!Y31-Psi!W31)/(2*p_h)</f>
        <v/>
      </c>
      <c r="Y31" s="16">
        <f>-(Psi!Z31-Psi!X31)/(2*p_h)</f>
        <v/>
      </c>
      <c r="Z31" s="16">
        <f>-(Psi!AA31-Psi!Y31)/(2*p_h)</f>
        <v/>
      </c>
      <c r="AA31" s="16">
        <f>-(Psi!AB31-Psi!Z31)/(2*p_h)</f>
        <v/>
      </c>
      <c r="AB31" s="16">
        <f>-(Psi!AC31-Psi!AA31)/(2*p_h)</f>
        <v/>
      </c>
      <c r="AC31" s="16">
        <f>-(Psi!AD31-Psi!AB31)/(2*p_h)</f>
        <v/>
      </c>
      <c r="AD31" s="16">
        <f>-(Psi!AE31-Psi!AC31)/(2*p_h)</f>
        <v/>
      </c>
      <c r="AE31" s="16">
        <f>-(Psi!AF31-Psi!AD31)/(2*p_h)</f>
        <v/>
      </c>
      <c r="AF31" s="16">
        <f>-(Psi!AG31-Psi!AE31)/(2*p_h)</f>
        <v/>
      </c>
      <c r="AG31" s="16">
        <f>-(Psi!AH31-Psi!AF31)/(2*p_h)</f>
        <v/>
      </c>
      <c r="AH31" s="16" t="n">
        <v>0</v>
      </c>
    </row>
    <row r="32">
      <c r="A32" s="7">
        <f>A31-p_h</f>
        <v/>
      </c>
      <c r="B32" s="16" t="n">
        <v>0</v>
      </c>
      <c r="C32" s="16">
        <f>-(Psi!D32-Psi!B32)/(2*p_h)</f>
        <v/>
      </c>
      <c r="D32" s="16">
        <f>-(Psi!E32-Psi!C32)/(2*p_h)</f>
        <v/>
      </c>
      <c r="E32" s="16">
        <f>-(Psi!F32-Psi!D32)/(2*p_h)</f>
        <v/>
      </c>
      <c r="F32" s="16">
        <f>-(Psi!G32-Psi!E32)/(2*p_h)</f>
        <v/>
      </c>
      <c r="G32" s="16">
        <f>-(Psi!H32-Psi!F32)/(2*p_h)</f>
        <v/>
      </c>
      <c r="H32" s="16">
        <f>-(Psi!I32-Psi!G32)/(2*p_h)</f>
        <v/>
      </c>
      <c r="I32" s="16">
        <f>-(Psi!J32-Psi!H32)/(2*p_h)</f>
        <v/>
      </c>
      <c r="J32" s="16">
        <f>-(Psi!K32-Psi!I32)/(2*p_h)</f>
        <v/>
      </c>
      <c r="K32" s="16">
        <f>-(Psi!L32-Psi!J32)/(2*p_h)</f>
        <v/>
      </c>
      <c r="L32" s="16">
        <f>-(Psi!M32-Psi!K32)/(2*p_h)</f>
        <v/>
      </c>
      <c r="M32" s="16">
        <f>-(Psi!N32-Psi!L32)/(2*p_h)</f>
        <v/>
      </c>
      <c r="N32" s="16">
        <f>-(Psi!O32-Psi!M32)/(2*p_h)</f>
        <v/>
      </c>
      <c r="O32" s="16">
        <f>-(Psi!P32-Psi!N32)/(2*p_h)</f>
        <v/>
      </c>
      <c r="P32" s="16">
        <f>-(Psi!Q32-Psi!O32)/(2*p_h)</f>
        <v/>
      </c>
      <c r="Q32" s="16">
        <f>-(Psi!R32-Psi!P32)/(2*p_h)</f>
        <v/>
      </c>
      <c r="R32" s="16">
        <f>-(Psi!S32-Psi!Q32)/(2*p_h)</f>
        <v/>
      </c>
      <c r="S32" s="16">
        <f>-(Psi!T32-Psi!R32)/(2*p_h)</f>
        <v/>
      </c>
      <c r="T32" s="16">
        <f>-(Psi!U32-Psi!S32)/(2*p_h)</f>
        <v/>
      </c>
      <c r="U32" s="16">
        <f>-(Psi!V32-Psi!T32)/(2*p_h)</f>
        <v/>
      </c>
      <c r="V32" s="16">
        <f>-(Psi!W32-Psi!U32)/(2*p_h)</f>
        <v/>
      </c>
      <c r="W32" s="16">
        <f>-(Psi!X32-Psi!V32)/(2*p_h)</f>
        <v/>
      </c>
      <c r="X32" s="16">
        <f>-(Psi!Y32-Psi!W32)/(2*p_h)</f>
        <v/>
      </c>
      <c r="Y32" s="16">
        <f>-(Psi!Z32-Psi!X32)/(2*p_h)</f>
        <v/>
      </c>
      <c r="Z32" s="16">
        <f>-(Psi!AA32-Psi!Y32)/(2*p_h)</f>
        <v/>
      </c>
      <c r="AA32" s="16">
        <f>-(Psi!AB32-Psi!Z32)/(2*p_h)</f>
        <v/>
      </c>
      <c r="AB32" s="16">
        <f>-(Psi!AC32-Psi!AA32)/(2*p_h)</f>
        <v/>
      </c>
      <c r="AC32" s="16">
        <f>-(Psi!AD32-Psi!AB32)/(2*p_h)</f>
        <v/>
      </c>
      <c r="AD32" s="16">
        <f>-(Psi!AE32-Psi!AC32)/(2*p_h)</f>
        <v/>
      </c>
      <c r="AE32" s="16">
        <f>-(Psi!AF32-Psi!AD32)/(2*p_h)</f>
        <v/>
      </c>
      <c r="AF32" s="16">
        <f>-(Psi!AG32-Psi!AE32)/(2*p_h)</f>
        <v/>
      </c>
      <c r="AG32" s="16">
        <f>-(Psi!AH32-Psi!AF32)/(2*p_h)</f>
        <v/>
      </c>
      <c r="AH32" s="16" t="n">
        <v>0</v>
      </c>
    </row>
    <row r="33">
      <c r="A33" s="7">
        <f>A32-p_h</f>
        <v/>
      </c>
      <c r="B33" s="16" t="n">
        <v>0</v>
      </c>
      <c r="C33" s="16">
        <f>-(Psi!D33-Psi!B33)/(2*p_h)</f>
        <v/>
      </c>
      <c r="D33" s="16">
        <f>-(Psi!E33-Psi!C33)/(2*p_h)</f>
        <v/>
      </c>
      <c r="E33" s="16">
        <f>-(Psi!F33-Psi!D33)/(2*p_h)</f>
        <v/>
      </c>
      <c r="F33" s="16">
        <f>-(Psi!G33-Psi!E33)/(2*p_h)</f>
        <v/>
      </c>
      <c r="G33" s="16">
        <f>-(Psi!H33-Psi!F33)/(2*p_h)</f>
        <v/>
      </c>
      <c r="H33" s="16">
        <f>-(Psi!I33-Psi!G33)/(2*p_h)</f>
        <v/>
      </c>
      <c r="I33" s="16">
        <f>-(Psi!J33-Psi!H33)/(2*p_h)</f>
        <v/>
      </c>
      <c r="J33" s="16">
        <f>-(Psi!K33-Psi!I33)/(2*p_h)</f>
        <v/>
      </c>
      <c r="K33" s="16">
        <f>-(Psi!L33-Psi!J33)/(2*p_h)</f>
        <v/>
      </c>
      <c r="L33" s="16">
        <f>-(Psi!M33-Psi!K33)/(2*p_h)</f>
        <v/>
      </c>
      <c r="M33" s="16">
        <f>-(Psi!N33-Psi!L33)/(2*p_h)</f>
        <v/>
      </c>
      <c r="N33" s="16">
        <f>-(Psi!O33-Psi!M33)/(2*p_h)</f>
        <v/>
      </c>
      <c r="O33" s="16">
        <f>-(Psi!P33-Psi!N33)/(2*p_h)</f>
        <v/>
      </c>
      <c r="P33" s="16">
        <f>-(Psi!Q33-Psi!O33)/(2*p_h)</f>
        <v/>
      </c>
      <c r="Q33" s="16">
        <f>-(Psi!R33-Psi!P33)/(2*p_h)</f>
        <v/>
      </c>
      <c r="R33" s="16">
        <f>-(Psi!S33-Psi!Q33)/(2*p_h)</f>
        <v/>
      </c>
      <c r="S33" s="16">
        <f>-(Psi!T33-Psi!R33)/(2*p_h)</f>
        <v/>
      </c>
      <c r="T33" s="16">
        <f>-(Psi!U33-Psi!S33)/(2*p_h)</f>
        <v/>
      </c>
      <c r="U33" s="16">
        <f>-(Psi!V33-Psi!T33)/(2*p_h)</f>
        <v/>
      </c>
      <c r="V33" s="16">
        <f>-(Psi!W33-Psi!U33)/(2*p_h)</f>
        <v/>
      </c>
      <c r="W33" s="16">
        <f>-(Psi!X33-Psi!V33)/(2*p_h)</f>
        <v/>
      </c>
      <c r="X33" s="16">
        <f>-(Psi!Y33-Psi!W33)/(2*p_h)</f>
        <v/>
      </c>
      <c r="Y33" s="16">
        <f>-(Psi!Z33-Psi!X33)/(2*p_h)</f>
        <v/>
      </c>
      <c r="Z33" s="16">
        <f>-(Psi!AA33-Psi!Y33)/(2*p_h)</f>
        <v/>
      </c>
      <c r="AA33" s="16">
        <f>-(Psi!AB33-Psi!Z33)/(2*p_h)</f>
        <v/>
      </c>
      <c r="AB33" s="16">
        <f>-(Psi!AC33-Psi!AA33)/(2*p_h)</f>
        <v/>
      </c>
      <c r="AC33" s="16">
        <f>-(Psi!AD33-Psi!AB33)/(2*p_h)</f>
        <v/>
      </c>
      <c r="AD33" s="16">
        <f>-(Psi!AE33-Psi!AC33)/(2*p_h)</f>
        <v/>
      </c>
      <c r="AE33" s="16">
        <f>-(Psi!AF33-Psi!AD33)/(2*p_h)</f>
        <v/>
      </c>
      <c r="AF33" s="16">
        <f>-(Psi!AG33-Psi!AE33)/(2*p_h)</f>
        <v/>
      </c>
      <c r="AG33" s="16">
        <f>-(Psi!AH33-Psi!AF33)/(2*p_h)</f>
        <v/>
      </c>
      <c r="AH33" s="16" t="n">
        <v>0</v>
      </c>
    </row>
    <row r="34">
      <c r="A34" s="7">
        <f>A33-p_h</f>
        <v/>
      </c>
      <c r="B34" s="16" t="n">
        <v>0</v>
      </c>
      <c r="C34" s="16">
        <f>-(Psi!D34-Psi!B34)/(2*p_h)</f>
        <v/>
      </c>
      <c r="D34" s="16">
        <f>-(Psi!E34-Psi!C34)/(2*p_h)</f>
        <v/>
      </c>
      <c r="E34" s="16">
        <f>-(Psi!F34-Psi!D34)/(2*p_h)</f>
        <v/>
      </c>
      <c r="F34" s="16">
        <f>-(Psi!G34-Psi!E34)/(2*p_h)</f>
        <v/>
      </c>
      <c r="G34" s="16">
        <f>-(Psi!H34-Psi!F34)/(2*p_h)</f>
        <v/>
      </c>
      <c r="H34" s="16">
        <f>-(Psi!I34-Psi!G34)/(2*p_h)</f>
        <v/>
      </c>
      <c r="I34" s="16">
        <f>-(Psi!J34-Psi!H34)/(2*p_h)</f>
        <v/>
      </c>
      <c r="J34" s="16">
        <f>-(Psi!K34-Psi!I34)/(2*p_h)</f>
        <v/>
      </c>
      <c r="K34" s="16">
        <f>-(Psi!L34-Psi!J34)/(2*p_h)</f>
        <v/>
      </c>
      <c r="L34" s="16">
        <f>-(Psi!M34-Psi!K34)/(2*p_h)</f>
        <v/>
      </c>
      <c r="M34" s="16">
        <f>-(Psi!N34-Psi!L34)/(2*p_h)</f>
        <v/>
      </c>
      <c r="N34" s="16">
        <f>-(Psi!O34-Psi!M34)/(2*p_h)</f>
        <v/>
      </c>
      <c r="O34" s="16">
        <f>-(Psi!P34-Psi!N34)/(2*p_h)</f>
        <v/>
      </c>
      <c r="P34" s="16">
        <f>-(Psi!Q34-Psi!O34)/(2*p_h)</f>
        <v/>
      </c>
      <c r="Q34" s="16">
        <f>-(Psi!R34-Psi!P34)/(2*p_h)</f>
        <v/>
      </c>
      <c r="R34" s="16">
        <f>-(Psi!S34-Psi!Q34)/(2*p_h)</f>
        <v/>
      </c>
      <c r="S34" s="16">
        <f>-(Psi!T34-Psi!R34)/(2*p_h)</f>
        <v/>
      </c>
      <c r="T34" s="16">
        <f>-(Psi!U34-Psi!S34)/(2*p_h)</f>
        <v/>
      </c>
      <c r="U34" s="16">
        <f>-(Psi!V34-Psi!T34)/(2*p_h)</f>
        <v/>
      </c>
      <c r="V34" s="16">
        <f>-(Psi!W34-Psi!U34)/(2*p_h)</f>
        <v/>
      </c>
      <c r="W34" s="16">
        <f>-(Psi!X34-Psi!V34)/(2*p_h)</f>
        <v/>
      </c>
      <c r="X34" s="16">
        <f>-(Psi!Y34-Psi!W34)/(2*p_h)</f>
        <v/>
      </c>
      <c r="Y34" s="16">
        <f>-(Psi!Z34-Psi!X34)/(2*p_h)</f>
        <v/>
      </c>
      <c r="Z34" s="16">
        <f>-(Psi!AA34-Psi!Y34)/(2*p_h)</f>
        <v/>
      </c>
      <c r="AA34" s="16">
        <f>-(Psi!AB34-Psi!Z34)/(2*p_h)</f>
        <v/>
      </c>
      <c r="AB34" s="16">
        <f>-(Psi!AC34-Psi!AA34)/(2*p_h)</f>
        <v/>
      </c>
      <c r="AC34" s="16">
        <f>-(Psi!AD34-Psi!AB34)/(2*p_h)</f>
        <v/>
      </c>
      <c r="AD34" s="16">
        <f>-(Psi!AE34-Psi!AC34)/(2*p_h)</f>
        <v/>
      </c>
      <c r="AE34" s="16">
        <f>-(Psi!AF34-Psi!AD34)/(2*p_h)</f>
        <v/>
      </c>
      <c r="AF34" s="16">
        <f>-(Psi!AG34-Psi!AE34)/(2*p_h)</f>
        <v/>
      </c>
      <c r="AG34" s="16">
        <f>-(Psi!AH34-Psi!AF34)/(2*p_h)</f>
        <v/>
      </c>
      <c r="AH34" s="16" t="n">
        <v>0</v>
      </c>
    </row>
    <row r="35">
      <c r="A35" s="7">
        <f>A34-p_h</f>
        <v/>
      </c>
      <c r="B35" s="16" t="n">
        <v>0</v>
      </c>
      <c r="C35" s="16" t="n">
        <v>0</v>
      </c>
      <c r="D35" s="16" t="n">
        <v>0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>
        <v>0</v>
      </c>
      <c r="AA35" s="16" t="n">
        <v>0</v>
      </c>
      <c r="AB35" s="16" t="n">
        <v>0</v>
      </c>
      <c r="AC35" s="16" t="n">
        <v>0</v>
      </c>
      <c r="AD35" s="16" t="n">
        <v>0</v>
      </c>
      <c r="AE35" s="16" t="n">
        <v>0</v>
      </c>
      <c r="AF35" s="16" t="n">
        <v>0</v>
      </c>
      <c r="AG35" s="16" t="n">
        <v>0</v>
      </c>
      <c r="AH35" s="16" t="n">
        <v>0</v>
      </c>
    </row>
  </sheetData>
  <conditionalFormatting sqref="B3:AH35">
    <cfRule type="colorScale" priority="1">
      <colorScale>
        <cfvo type="min"/>
        <cfvo type="num" val="0"/>
        <cfvo type="max"/>
        <color rgb="002C7BB6"/>
        <color rgb="00FFFFFF"/>
        <color rgb="00D7191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8" customWidth="1" min="7" max="7"/>
    <col width="20" customWidth="1" min="10" max="10"/>
    <col width="14" customWidth="1" min="11" max="11"/>
  </cols>
  <sheetData>
    <row r="1">
      <c r="A1" s="4" t="inlineStr">
        <is>
          <t>Vertical centre line (x = 0.5): u-velocity, spreadsheet vs Ghia, Ghia &amp; Shin (1982), Re = 100</t>
        </is>
      </c>
    </row>
    <row r="2">
      <c r="A2" s="10" t="inlineStr">
        <is>
          <t>y</t>
        </is>
      </c>
      <c r="B2" s="10" t="inlineStr">
        <is>
          <t>u (spreadsheet)</t>
        </is>
      </c>
      <c r="D2" s="10" t="inlineStr">
        <is>
          <t>y (Ghia)</t>
        </is>
      </c>
      <c r="E2" s="10" t="inlineStr">
        <is>
          <t>u (Ghia)</t>
        </is>
      </c>
      <c r="F2" s="10" t="inlineStr">
        <is>
          <t>row k</t>
        </is>
      </c>
      <c r="G2" s="10" t="inlineStr">
        <is>
          <t>u spreadsheet @ y</t>
        </is>
      </c>
      <c r="H2" s="10" t="inlineStr">
        <is>
          <t>difference</t>
        </is>
      </c>
      <c r="J2" s="4" t="inlineStr">
        <is>
          <t>Summary</t>
        </is>
      </c>
    </row>
    <row r="3">
      <c r="A3" s="17">
        <f>u_vel!A3</f>
        <v/>
      </c>
      <c r="B3" s="17">
        <f>u_vel!R3</f>
        <v/>
      </c>
      <c r="D3" s="18" t="n">
        <v>1</v>
      </c>
      <c r="E3" s="18" t="n">
        <v>1</v>
      </c>
      <c r="F3" s="12">
        <f>MATCH(D3-0.000000001,$A$3:$A$35,-1)</f>
        <v/>
      </c>
      <c r="G3" s="19">
        <f>IF(D3&gt;=$A$3-0.000000001,$B$3,IF(D3&lt;=$A$35+0.000000001,$B$35,INDEX($B$3:$B$35,F3)+(D3-INDEX($A$3:$A$35,F3))*(INDEX($B$3:$B$35,F3+1)-INDEX($B$3:$B$35,F3))/(INDEX($A$3:$A$35,F3+1)-INDEX($A$3:$A$35,F3))))</f>
        <v/>
      </c>
      <c r="H3" s="19">
        <f>G3-E3</f>
        <v/>
      </c>
      <c r="J3" s="12" t="inlineStr">
        <is>
          <t>RMS error vs Ghia</t>
        </is>
      </c>
      <c r="K3" s="19">
        <f>IF(p_Re=100,SQRT(SUMSQ(H3:H19)/17),"n/a (Re&lt;&gt;100)")</f>
        <v/>
      </c>
    </row>
    <row r="4">
      <c r="A4" s="17">
        <f>u_vel!A4</f>
        <v/>
      </c>
      <c r="B4" s="17">
        <f>u_vel!R4</f>
        <v/>
      </c>
      <c r="D4" s="18" t="n">
        <v>0.9766</v>
      </c>
      <c r="E4" s="18" t="n">
        <v>0.84123</v>
      </c>
      <c r="F4" s="12">
        <f>MATCH(D4-0.000000001,$A$3:$A$35,-1)</f>
        <v/>
      </c>
      <c r="G4" s="19">
        <f>IF(D4&gt;=$A$3-0.000000001,$B$3,IF(D4&lt;=$A$35+0.000000001,$B$35,INDEX($B$3:$B$35,F4)+(D4-INDEX($A$3:$A$35,F4))*(INDEX($B$3:$B$35,F4+1)-INDEX($B$3:$B$35,F4))/(INDEX($A$3:$A$35,F4+1)-INDEX($A$3:$A$35,F4))))</f>
        <v/>
      </c>
      <c r="H4" s="19">
        <f>G4-E4</f>
        <v/>
      </c>
    </row>
    <row r="5">
      <c r="A5" s="17">
        <f>u_vel!A5</f>
        <v/>
      </c>
      <c r="B5" s="17">
        <f>u_vel!R5</f>
        <v/>
      </c>
      <c r="D5" s="18" t="n">
        <v>0.9688</v>
      </c>
      <c r="E5" s="18" t="n">
        <v>0.78871</v>
      </c>
      <c r="F5" s="12">
        <f>MATCH(D5-0.000000001,$A$3:$A$35,-1)</f>
        <v/>
      </c>
      <c r="G5" s="19">
        <f>IF(D5&gt;=$A$3-0.000000001,$B$3,IF(D5&lt;=$A$35+0.000000001,$B$35,INDEX($B$3:$B$35,F5)+(D5-INDEX($A$3:$A$35,F5))*(INDEX($B$3:$B$35,F5+1)-INDEX($B$3:$B$35,F5))/(INDEX($A$3:$A$35,F5+1)-INDEX($A$3:$A$35,F5))))</f>
        <v/>
      </c>
      <c r="H5" s="19">
        <f>G5-E5</f>
        <v/>
      </c>
    </row>
    <row r="6">
      <c r="A6" s="17">
        <f>u_vel!A6</f>
        <v/>
      </c>
      <c r="B6" s="17">
        <f>u_vel!R6</f>
        <v/>
      </c>
      <c r="D6" s="18" t="n">
        <v>0.9609</v>
      </c>
      <c r="E6" s="18" t="n">
        <v>0.73722</v>
      </c>
      <c r="F6" s="12">
        <f>MATCH(D6-0.000000001,$A$3:$A$35,-1)</f>
        <v/>
      </c>
      <c r="G6" s="19">
        <f>IF(D6&gt;=$A$3-0.000000001,$B$3,IF(D6&lt;=$A$35+0.000000001,$B$35,INDEX($B$3:$B$35,F6)+(D6-INDEX($A$3:$A$35,F6))*(INDEX($B$3:$B$35,F6+1)-INDEX($B$3:$B$35,F6))/(INDEX($A$3:$A$35,F6+1)-INDEX($A$3:$A$35,F6))))</f>
        <v/>
      </c>
      <c r="H6" s="19">
        <f>G6-E6</f>
        <v/>
      </c>
    </row>
    <row r="7">
      <c r="A7" s="17">
        <f>u_vel!A7</f>
        <v/>
      </c>
      <c r="B7" s="17">
        <f>u_vel!R7</f>
        <v/>
      </c>
      <c r="D7" s="18" t="n">
        <v>0.9530999999999999</v>
      </c>
      <c r="E7" s="18" t="n">
        <v>0.6871699999999999</v>
      </c>
      <c r="F7" s="12">
        <f>MATCH(D7-0.000000001,$A$3:$A$35,-1)</f>
        <v/>
      </c>
      <c r="G7" s="19">
        <f>IF(D7&gt;=$A$3-0.000000001,$B$3,IF(D7&lt;=$A$35+0.000000001,$B$35,INDEX($B$3:$B$35,F7)+(D7-INDEX($A$3:$A$35,F7))*(INDEX($B$3:$B$35,F7+1)-INDEX($B$3:$B$35,F7))/(INDEX($A$3:$A$35,F7+1)-INDEX($A$3:$A$35,F7))))</f>
        <v/>
      </c>
      <c r="H7" s="19">
        <f>G7-E7</f>
        <v/>
      </c>
    </row>
    <row r="8">
      <c r="A8" s="17">
        <f>u_vel!A8</f>
        <v/>
      </c>
      <c r="B8" s="17">
        <f>u_vel!R8</f>
        <v/>
      </c>
      <c r="D8" s="18" t="n">
        <v>0.8516</v>
      </c>
      <c r="E8" s="18" t="n">
        <v>0.23151</v>
      </c>
      <c r="F8" s="12">
        <f>MATCH(D8-0.000000001,$A$3:$A$35,-1)</f>
        <v/>
      </c>
      <c r="G8" s="19">
        <f>IF(D8&gt;=$A$3-0.000000001,$B$3,IF(D8&lt;=$A$35+0.000000001,$B$35,INDEX($B$3:$B$35,F8)+(D8-INDEX($A$3:$A$35,F8))*(INDEX($B$3:$B$35,F8+1)-INDEX($B$3:$B$35,F8))/(INDEX($A$3:$A$35,F8+1)-INDEX($A$3:$A$35,F8))))</f>
        <v/>
      </c>
      <c r="H8" s="19">
        <f>G8-E8</f>
        <v/>
      </c>
    </row>
    <row r="9">
      <c r="A9" s="17">
        <f>u_vel!A9</f>
        <v/>
      </c>
      <c r="B9" s="17">
        <f>u_vel!R9</f>
        <v/>
      </c>
      <c r="D9" s="18" t="n">
        <v>0.7344000000000001</v>
      </c>
      <c r="E9" s="18" t="n">
        <v>0.00332</v>
      </c>
      <c r="F9" s="12">
        <f>MATCH(D9-0.000000001,$A$3:$A$35,-1)</f>
        <v/>
      </c>
      <c r="G9" s="19">
        <f>IF(D9&gt;=$A$3-0.000000001,$B$3,IF(D9&lt;=$A$35+0.000000001,$B$35,INDEX($B$3:$B$35,F9)+(D9-INDEX($A$3:$A$35,F9))*(INDEX($B$3:$B$35,F9+1)-INDEX($B$3:$B$35,F9))/(INDEX($A$3:$A$35,F9+1)-INDEX($A$3:$A$35,F9))))</f>
        <v/>
      </c>
      <c r="H9" s="19">
        <f>G9-E9</f>
        <v/>
      </c>
    </row>
    <row r="10">
      <c r="A10" s="17">
        <f>u_vel!A10</f>
        <v/>
      </c>
      <c r="B10" s="17">
        <f>u_vel!R10</f>
        <v/>
      </c>
      <c r="D10" s="18" t="n">
        <v>0.6172</v>
      </c>
      <c r="E10" s="18" t="n">
        <v>-0.13641</v>
      </c>
      <c r="F10" s="12">
        <f>MATCH(D10-0.000000001,$A$3:$A$35,-1)</f>
        <v/>
      </c>
      <c r="G10" s="19">
        <f>IF(D10&gt;=$A$3-0.000000001,$B$3,IF(D10&lt;=$A$35+0.000000001,$B$35,INDEX($B$3:$B$35,F10)+(D10-INDEX($A$3:$A$35,F10))*(INDEX($B$3:$B$35,F10+1)-INDEX($B$3:$B$35,F10))/(INDEX($A$3:$A$35,F10+1)-INDEX($A$3:$A$35,F10))))</f>
        <v/>
      </c>
      <c r="H10" s="19">
        <f>G10-E10</f>
        <v/>
      </c>
    </row>
    <row r="11">
      <c r="A11" s="17">
        <f>u_vel!A11</f>
        <v/>
      </c>
      <c r="B11" s="17">
        <f>u_vel!R11</f>
        <v/>
      </c>
      <c r="D11" s="18" t="n">
        <v>0.5</v>
      </c>
      <c r="E11" s="18" t="n">
        <v>-0.20581</v>
      </c>
      <c r="F11" s="12">
        <f>MATCH(D11-0.000000001,$A$3:$A$35,-1)</f>
        <v/>
      </c>
      <c r="G11" s="19">
        <f>IF(D11&gt;=$A$3-0.000000001,$B$3,IF(D11&lt;=$A$35+0.000000001,$B$35,INDEX($B$3:$B$35,F11)+(D11-INDEX($A$3:$A$35,F11))*(INDEX($B$3:$B$35,F11+1)-INDEX($B$3:$B$35,F11))/(INDEX($A$3:$A$35,F11+1)-INDEX($A$3:$A$35,F11))))</f>
        <v/>
      </c>
      <c r="H11" s="19">
        <f>G11-E11</f>
        <v/>
      </c>
    </row>
    <row r="12">
      <c r="A12" s="17">
        <f>u_vel!A12</f>
        <v/>
      </c>
      <c r="B12" s="17">
        <f>u_vel!R12</f>
        <v/>
      </c>
      <c r="D12" s="18" t="n">
        <v>0.4531</v>
      </c>
      <c r="E12" s="18" t="n">
        <v>-0.2109</v>
      </c>
      <c r="F12" s="12">
        <f>MATCH(D12-0.000000001,$A$3:$A$35,-1)</f>
        <v/>
      </c>
      <c r="G12" s="19">
        <f>IF(D12&gt;=$A$3-0.000000001,$B$3,IF(D12&lt;=$A$35+0.000000001,$B$35,INDEX($B$3:$B$35,F12)+(D12-INDEX($A$3:$A$35,F12))*(INDEX($B$3:$B$35,F12+1)-INDEX($B$3:$B$35,F12))/(INDEX($A$3:$A$35,F12+1)-INDEX($A$3:$A$35,F12))))</f>
        <v/>
      </c>
      <c r="H12" s="19">
        <f>G12-E12</f>
        <v/>
      </c>
    </row>
    <row r="13">
      <c r="A13" s="17">
        <f>u_vel!A13</f>
        <v/>
      </c>
      <c r="B13" s="17">
        <f>u_vel!R13</f>
        <v/>
      </c>
      <c r="D13" s="18" t="n">
        <v>0.2813</v>
      </c>
      <c r="E13" s="18" t="n">
        <v>-0.15662</v>
      </c>
      <c r="F13" s="12">
        <f>MATCH(D13-0.000000001,$A$3:$A$35,-1)</f>
        <v/>
      </c>
      <c r="G13" s="19">
        <f>IF(D13&gt;=$A$3-0.000000001,$B$3,IF(D13&lt;=$A$35+0.000000001,$B$35,INDEX($B$3:$B$35,F13)+(D13-INDEX($A$3:$A$35,F13))*(INDEX($B$3:$B$35,F13+1)-INDEX($B$3:$B$35,F13))/(INDEX($A$3:$A$35,F13+1)-INDEX($A$3:$A$35,F13))))</f>
        <v/>
      </c>
      <c r="H13" s="19">
        <f>G13-E13</f>
        <v/>
      </c>
    </row>
    <row r="14">
      <c r="A14" s="17">
        <f>u_vel!A14</f>
        <v/>
      </c>
      <c r="B14" s="17">
        <f>u_vel!R14</f>
        <v/>
      </c>
      <c r="D14" s="18" t="n">
        <v>0.1719</v>
      </c>
      <c r="E14" s="18" t="n">
        <v>-0.1015</v>
      </c>
      <c r="F14" s="12">
        <f>MATCH(D14-0.000000001,$A$3:$A$35,-1)</f>
        <v/>
      </c>
      <c r="G14" s="19">
        <f>IF(D14&gt;=$A$3-0.000000001,$B$3,IF(D14&lt;=$A$35+0.000000001,$B$35,INDEX($B$3:$B$35,F14)+(D14-INDEX($A$3:$A$35,F14))*(INDEX($B$3:$B$35,F14+1)-INDEX($B$3:$B$35,F14))/(INDEX($A$3:$A$35,F14+1)-INDEX($A$3:$A$35,F14))))</f>
        <v/>
      </c>
      <c r="H14" s="19">
        <f>G14-E14</f>
        <v/>
      </c>
    </row>
    <row r="15">
      <c r="A15" s="17">
        <f>u_vel!A15</f>
        <v/>
      </c>
      <c r="B15" s="17">
        <f>u_vel!R15</f>
        <v/>
      </c>
      <c r="D15" s="18" t="n">
        <v>0.1016</v>
      </c>
      <c r="E15" s="18" t="n">
        <v>-0.06433999999999999</v>
      </c>
      <c r="F15" s="12">
        <f>MATCH(D15-0.000000001,$A$3:$A$35,-1)</f>
        <v/>
      </c>
      <c r="G15" s="19">
        <f>IF(D15&gt;=$A$3-0.000000001,$B$3,IF(D15&lt;=$A$35+0.000000001,$B$35,INDEX($B$3:$B$35,F15)+(D15-INDEX($A$3:$A$35,F15))*(INDEX($B$3:$B$35,F15+1)-INDEX($B$3:$B$35,F15))/(INDEX($A$3:$A$35,F15+1)-INDEX($A$3:$A$35,F15))))</f>
        <v/>
      </c>
      <c r="H15" s="19">
        <f>G15-E15</f>
        <v/>
      </c>
    </row>
    <row r="16">
      <c r="A16" s="17">
        <f>u_vel!A16</f>
        <v/>
      </c>
      <c r="B16" s="17">
        <f>u_vel!R16</f>
        <v/>
      </c>
      <c r="D16" s="18" t="n">
        <v>0.0703</v>
      </c>
      <c r="E16" s="18" t="n">
        <v>-0.04775</v>
      </c>
      <c r="F16" s="12">
        <f>MATCH(D16-0.000000001,$A$3:$A$35,-1)</f>
        <v/>
      </c>
      <c r="G16" s="19">
        <f>IF(D16&gt;=$A$3-0.000000001,$B$3,IF(D16&lt;=$A$35+0.000000001,$B$35,INDEX($B$3:$B$35,F16)+(D16-INDEX($A$3:$A$35,F16))*(INDEX($B$3:$B$35,F16+1)-INDEX($B$3:$B$35,F16))/(INDEX($A$3:$A$35,F16+1)-INDEX($A$3:$A$35,F16))))</f>
        <v/>
      </c>
      <c r="H16" s="19">
        <f>G16-E16</f>
        <v/>
      </c>
    </row>
    <row r="17">
      <c r="A17" s="17">
        <f>u_vel!A17</f>
        <v/>
      </c>
      <c r="B17" s="17">
        <f>u_vel!R17</f>
        <v/>
      </c>
      <c r="D17" s="18" t="n">
        <v>0.0625</v>
      </c>
      <c r="E17" s="18" t="n">
        <v>-0.04192</v>
      </c>
      <c r="F17" s="12">
        <f>MATCH(D17-0.000000001,$A$3:$A$35,-1)</f>
        <v/>
      </c>
      <c r="G17" s="19">
        <f>IF(D17&gt;=$A$3-0.000000001,$B$3,IF(D17&lt;=$A$35+0.000000001,$B$35,INDEX($B$3:$B$35,F17)+(D17-INDEX($A$3:$A$35,F17))*(INDEX($B$3:$B$35,F17+1)-INDEX($B$3:$B$35,F17))/(INDEX($A$3:$A$35,F17+1)-INDEX($A$3:$A$35,F17))))</f>
        <v/>
      </c>
      <c r="H17" s="19">
        <f>G17-E17</f>
        <v/>
      </c>
    </row>
    <row r="18">
      <c r="A18" s="17">
        <f>u_vel!A18</f>
        <v/>
      </c>
      <c r="B18" s="17">
        <f>u_vel!R18</f>
        <v/>
      </c>
      <c r="D18" s="18" t="n">
        <v>0.0547</v>
      </c>
      <c r="E18" s="18" t="n">
        <v>-0.03717</v>
      </c>
      <c r="F18" s="12">
        <f>MATCH(D18-0.000000001,$A$3:$A$35,-1)</f>
        <v/>
      </c>
      <c r="G18" s="19">
        <f>IF(D18&gt;=$A$3-0.000000001,$B$3,IF(D18&lt;=$A$35+0.000000001,$B$35,INDEX($B$3:$B$35,F18)+(D18-INDEX($A$3:$A$35,F18))*(INDEX($B$3:$B$35,F18+1)-INDEX($B$3:$B$35,F18))/(INDEX($A$3:$A$35,F18+1)-INDEX($A$3:$A$35,F18))))</f>
        <v/>
      </c>
      <c r="H18" s="19">
        <f>G18-E18</f>
        <v/>
      </c>
    </row>
    <row r="19">
      <c r="A19" s="17">
        <f>u_vel!A19</f>
        <v/>
      </c>
      <c r="B19" s="17">
        <f>u_vel!R19</f>
        <v/>
      </c>
      <c r="D19" s="18" t="n">
        <v>0</v>
      </c>
      <c r="E19" s="18" t="n">
        <v>0</v>
      </c>
      <c r="F19" s="12">
        <f>MATCH(D19-0.000000001,$A$3:$A$35,-1)</f>
        <v/>
      </c>
      <c r="G19" s="19">
        <f>IF(D19&gt;=$A$3-0.000000001,$B$3,IF(D19&lt;=$A$35+0.000000001,$B$35,INDEX($B$3:$B$35,F19)+(D19-INDEX($A$3:$A$35,F19))*(INDEX($B$3:$B$35,F19+1)-INDEX($B$3:$B$35,F19))/(INDEX($A$3:$A$35,F19+1)-INDEX($A$3:$A$35,F19))))</f>
        <v/>
      </c>
      <c r="H19" s="19">
        <f>G19-E19</f>
        <v/>
      </c>
    </row>
    <row r="20">
      <c r="A20" s="17">
        <f>u_vel!A20</f>
        <v/>
      </c>
      <c r="B20" s="17">
        <f>u_vel!R20</f>
        <v/>
      </c>
    </row>
    <row r="21">
      <c r="A21" s="17">
        <f>u_vel!A21</f>
        <v/>
      </c>
      <c r="B21" s="17">
        <f>u_vel!R21</f>
        <v/>
      </c>
      <c r="D21" s="9" t="inlineStr">
        <is>
          <t>Ghia values are typed-in benchmark data (blue). Source: U. Ghia, K.N. Ghia, C.T. Shin, J. Comput. Phys. 48 (1982) 387-411, Table I (129x129 grid, Re = 100). Differences of a few 1e-2 are expected from the coarser grid here.</t>
        </is>
      </c>
    </row>
    <row r="22">
      <c r="A22" s="17">
        <f>u_vel!A22</f>
        <v/>
      </c>
      <c r="B22" s="17">
        <f>u_vel!R22</f>
        <v/>
      </c>
    </row>
    <row r="23">
      <c r="A23" s="17">
        <f>u_vel!A23</f>
        <v/>
      </c>
      <c r="B23" s="17">
        <f>u_vel!R23</f>
        <v/>
      </c>
    </row>
    <row r="24">
      <c r="A24" s="17">
        <f>u_vel!A24</f>
        <v/>
      </c>
      <c r="B24" s="17">
        <f>u_vel!R24</f>
        <v/>
      </c>
    </row>
    <row r="25">
      <c r="A25" s="17">
        <f>u_vel!A25</f>
        <v/>
      </c>
      <c r="B25" s="17">
        <f>u_vel!R25</f>
        <v/>
      </c>
    </row>
    <row r="26">
      <c r="A26" s="17">
        <f>u_vel!A26</f>
        <v/>
      </c>
      <c r="B26" s="17">
        <f>u_vel!R26</f>
        <v/>
      </c>
    </row>
    <row r="27">
      <c r="A27" s="17">
        <f>u_vel!A27</f>
        <v/>
      </c>
      <c r="B27" s="17">
        <f>u_vel!R27</f>
        <v/>
      </c>
    </row>
    <row r="28">
      <c r="A28" s="17">
        <f>u_vel!A28</f>
        <v/>
      </c>
      <c r="B28" s="17">
        <f>u_vel!R28</f>
        <v/>
      </c>
    </row>
    <row r="29">
      <c r="A29" s="17">
        <f>u_vel!A29</f>
        <v/>
      </c>
      <c r="B29" s="17">
        <f>u_vel!R29</f>
        <v/>
      </c>
    </row>
    <row r="30">
      <c r="A30" s="17">
        <f>u_vel!A30</f>
        <v/>
      </c>
      <c r="B30" s="17">
        <f>u_vel!R30</f>
        <v/>
      </c>
    </row>
    <row r="31">
      <c r="A31" s="17">
        <f>u_vel!A31</f>
        <v/>
      </c>
      <c r="B31" s="17">
        <f>u_vel!R31</f>
        <v/>
      </c>
    </row>
    <row r="32">
      <c r="A32" s="17">
        <f>u_vel!A32</f>
        <v/>
      </c>
      <c r="B32" s="17">
        <f>u_vel!R32</f>
        <v/>
      </c>
    </row>
    <row r="33">
      <c r="A33" s="17">
        <f>u_vel!A33</f>
        <v/>
      </c>
      <c r="B33" s="17">
        <f>u_vel!R33</f>
        <v/>
      </c>
    </row>
    <row r="34">
      <c r="A34" s="17">
        <f>u_vel!A34</f>
        <v/>
      </c>
      <c r="B34" s="17">
        <f>u_vel!R34</f>
        <v/>
      </c>
    </row>
    <row r="35">
      <c r="A35" s="17">
        <f>u_vel!A35</f>
        <v/>
      </c>
      <c r="B35" s="17">
        <f>u_vel!R35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2026-10-26T22:52:07Z</dcterms:created>
  <dcterms:modified xmlns:dcterms="http://purl.org/dc/terms/" xmlns:xsi="http://www.w3.org/2001/XMLSchema-instance" xsi:type="dcterms:W3CDTF">2026-10-26T22:52:07Z</dcterms:modified>
</cp:coreProperties>
</file>