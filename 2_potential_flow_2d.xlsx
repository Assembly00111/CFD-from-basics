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ask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Psi" sheetId="4" state="visible" r:id="rId4"/>
    <sheet xmlns:r="http://schemas.openxmlformats.org/officeDocument/2006/relationships" name="u_vel" sheetId="5" state="visible" r:id="rId5"/>
    <sheet xmlns:r="http://schemas.openxmlformats.org/officeDocument/2006/relationships" name="v_vel" sheetId="6" state="visible" r:id="rId6"/>
    <sheet xmlns:r="http://schemas.openxmlformats.org/officeDocument/2006/relationships" name="Speed" sheetId="7" state="visible" r:id="rId7"/>
  </sheets>
  <definedNames>
    <definedName name="p_reset">Inputs!$B$5</definedName>
    <definedName name="p_U">Inputs!$B$7</definedName>
    <definedName name="p_dpsi">Inputs!$B$8</definedName>
    <definedName name="p_NX">Inputs!$B$10</definedName>
    <definedName name="p_NY">Inputs!$B$11</definedName>
    <definedName name="p_h">Inputs!$B$12</definedName>
  </definedNames>
  <calcPr calcId="124519" fullCalcOnLoad="1" iterate="1" iterateCount="1000" iterateDelta="1e-09"/>
</workbook>
</file>

<file path=xl/styles.xml><?xml version="1.0" encoding="utf-8"?>
<styleSheet xmlns="http://schemas.openxmlformats.org/spreadsheetml/2006/main">
  <numFmts count="1">
    <numFmt numFmtId="164" formatCode="0.000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color rgb="00595959"/>
      <sz val="9"/>
    </font>
    <font>
      <name val="Arial"/>
      <b val="1"/>
      <sz val="8"/>
    </font>
    <font>
      <name val="Arial"/>
      <sz val="8"/>
    </font>
    <font>
      <name val="Arial"/>
      <color rgb="000000FF"/>
      <sz val="8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7" fillId="2" borderId="0" pivotButton="0" quotePrefix="0" xfId="0"/>
    <xf numFmtId="2" fontId="7" fillId="2" borderId="0" applyAlignment="1" pivotButton="0" quotePrefix="0" xfId="0">
      <alignment horizontal="center"/>
    </xf>
    <xf numFmtId="2" fontId="7" fillId="2" borderId="0" pivotButton="0" quotePrefix="0" xfId="0"/>
    <xf numFmtId="1" fontId="9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164" fontId="8" fillId="0" borderId="0" applyAlignment="1" pivotButton="0" quotePrefix="0" xfId="0">
      <alignment horizontal="center"/>
    </xf>
    <xf numFmtId="2" fontId="8" fillId="0" borderId="0" applyAlignment="1" pivotButton="0" quotePrefix="0" xfId="0">
      <alignment horizontal="center"/>
    </xf>
  </cellXfs>
  <cellStyles count="1">
    <cellStyle name="Normal" xfId="0" builtinId="0" hidden="0"/>
  </cellStyles>
  <dxfs count="2">
    <dxf>
      <font>
        <name val="Arial"/>
        <color rgb="00FFFFFF"/>
        <sz val="8"/>
      </font>
      <fill>
        <patternFill patternType="solid">
          <fgColor rgb="001F1F1F"/>
          <bgColor rgb="001F1F1F"/>
        </patternFill>
      </fill>
    </dxf>
    <dxf>
      <fill>
        <patternFill patternType="solid">
          <fgColor rgb="00808080"/>
          <bgColor rgb="0080808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2D potential flow in Excel (stream-function formulation)</t>
        </is>
      </c>
    </row>
    <row r="3">
      <c r="A3" s="2" t="inlineStr">
        <is>
          <t>WHAT THIS SOLVES</t>
        </is>
      </c>
    </row>
    <row r="4">
      <c r="A4" s="3" t="inlineStr">
        <is>
          <t>Irrotational, incompressible flow:  laplacian(psi) = 0,  with u = dpsi/dy, v = -dpsi/dx.</t>
        </is>
      </c>
    </row>
    <row r="5">
      <c r="A5" s="3" t="inlineStr">
        <is>
          <t>Scheme: Gauss-Seidel.  psi = 0.25*(psi_E + psi_W + psi_N + psi_S) at every fluid node.</t>
        </is>
      </c>
    </row>
    <row r="6">
      <c r="A6" s="3" t="inlineStr">
        <is>
          <t>Boundaries: inlet psi = U*y;  bottom wall and solid bump psi = 0;  top wall psi = U*H;  outlet: zero gradient.</t>
        </is>
      </c>
    </row>
    <row r="7">
      <c r="A7" s="3" t="inlineStr"/>
    </row>
    <row r="8">
      <c r="A8" s="2" t="inlineStr">
        <is>
          <t>ONE-TIME SETUP (required):</t>
        </is>
      </c>
    </row>
    <row r="9">
      <c r="A9" s="3" t="inlineStr">
        <is>
          <t>1) File &gt; Options &gt; Formulas &gt; tick 'Enable iterative calculation'.  Set Maximum Iterations = 1000, Maximum Change = 0.000000001.</t>
        </is>
      </c>
    </row>
    <row r="10">
      <c r="A10" s="3" t="inlineStr">
        <is>
          <t xml:space="preserve">   (Excel takes this from the first workbook opened in a session. Close other workbooks first if you see a circular-reference warning.)</t>
        </is>
      </c>
    </row>
    <row r="11">
      <c r="A11" s="3" t="inlineStr">
        <is>
          <t>2) Press F9 a few times until the 'Max speed' monitor on 'Inputs' stops changing.</t>
        </is>
      </c>
    </row>
    <row r="12">
      <c r="A12" s="3" t="inlineStr"/>
    </row>
    <row r="13">
      <c r="A13" s="2" t="inlineStr">
        <is>
          <t>SHEETS:</t>
        </is>
      </c>
    </row>
    <row r="14">
      <c r="A14" s="3" t="inlineStr">
        <is>
          <t>Inputs   - free-stream speed, streamline spacing, monitors, Reset switch.</t>
        </is>
      </c>
    </row>
    <row r="15">
      <c r="A15" s="3" t="inlineStr">
        <is>
          <t>Mask     - 1 = solid, 0 = fluid. Default is a semicircular bump of radius 0.3 m. Type 1s to draw your own obstacle.</t>
        </is>
      </c>
    </row>
    <row r="16">
      <c r="A16" s="3" t="inlineStr">
        <is>
          <t>Psi      - stream function. Dark bands are streamlines.   u_vel / v_vel / Speed - velocity field.</t>
        </is>
      </c>
    </row>
    <row r="17">
      <c r="A17" s="3" t="inlineStr"/>
    </row>
    <row r="18">
      <c r="A18" s="2" t="inlineStr">
        <is>
          <t>RULES FOR THE MASK:</t>
        </is>
      </c>
    </row>
    <row r="19">
      <c r="A19" s="3" t="inlineStr">
        <is>
          <t>- Obstacles must touch the bottom wall (the wall is the psi = 0 streamline; a floating body would need a different constant).</t>
        </is>
      </c>
    </row>
    <row r="20">
      <c r="A20" s="3" t="inlineStr">
        <is>
          <t>- Keep the inlet and outlet columns fluid.</t>
        </is>
      </c>
    </row>
    <row r="21">
      <c r="A21" s="3" t="inlineStr"/>
    </row>
    <row r="22">
      <c r="A22" s="3" t="inlineStr">
        <is>
          <t>SANITY CHECK: set every mask cell to 0 -&gt; psi = U*y, u = U, v = 0 everywhere (uniform stream).</t>
        </is>
      </c>
    </row>
    <row r="23">
      <c r="A23" s="3" t="inlineStr">
        <is>
          <t>Limitation: ideal flow has no viscosity, separation or wake - this is the textbook potential-flow picture.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</cols>
  <sheetData>
    <row r="1">
      <c r="A1" s="4" t="inlineStr">
        <is>
          <t>Obstacle mask: 1 = solid, 0 = fluid.  Edit freely (solids must touch the bottom wall).</t>
        </is>
      </c>
    </row>
    <row r="2">
      <c r="A2" s="5" t="inlineStr">
        <is>
          <t>y \ x</t>
        </is>
      </c>
      <c r="B2" s="6" t="n">
        <v>0</v>
      </c>
      <c r="C2" s="6">
        <f>B2+p_h</f>
        <v/>
      </c>
      <c r="D2" s="6">
        <f>C2+p_h</f>
        <v/>
      </c>
      <c r="E2" s="6">
        <f>D2+p_h</f>
        <v/>
      </c>
      <c r="F2" s="6">
        <f>E2+p_h</f>
        <v/>
      </c>
      <c r="G2" s="6">
        <f>F2+p_h</f>
        <v/>
      </c>
      <c r="H2" s="6">
        <f>G2+p_h</f>
        <v/>
      </c>
      <c r="I2" s="6">
        <f>H2+p_h</f>
        <v/>
      </c>
      <c r="J2" s="6">
        <f>I2+p_h</f>
        <v/>
      </c>
      <c r="K2" s="6">
        <f>J2+p_h</f>
        <v/>
      </c>
      <c r="L2" s="6">
        <f>K2+p_h</f>
        <v/>
      </c>
      <c r="M2" s="6">
        <f>L2+p_h</f>
        <v/>
      </c>
      <c r="N2" s="6">
        <f>M2+p_h</f>
        <v/>
      </c>
      <c r="O2" s="6">
        <f>N2+p_h</f>
        <v/>
      </c>
      <c r="P2" s="6">
        <f>O2+p_h</f>
        <v/>
      </c>
      <c r="Q2" s="6">
        <f>P2+p_h</f>
        <v/>
      </c>
      <c r="R2" s="6">
        <f>Q2+p_h</f>
        <v/>
      </c>
      <c r="S2" s="6">
        <f>R2+p_h</f>
        <v/>
      </c>
      <c r="T2" s="6">
        <f>S2+p_h</f>
        <v/>
      </c>
      <c r="U2" s="6">
        <f>T2+p_h</f>
        <v/>
      </c>
      <c r="V2" s="6">
        <f>U2+p_h</f>
        <v/>
      </c>
      <c r="W2" s="6">
        <f>V2+p_h</f>
        <v/>
      </c>
      <c r="X2" s="6">
        <f>W2+p_h</f>
        <v/>
      </c>
      <c r="Y2" s="6">
        <f>X2+p_h</f>
        <v/>
      </c>
      <c r="Z2" s="6">
        <f>Y2+p_h</f>
        <v/>
      </c>
      <c r="AA2" s="6">
        <f>Z2+p_h</f>
        <v/>
      </c>
      <c r="AB2" s="6">
        <f>AA2+p_h</f>
        <v/>
      </c>
      <c r="AC2" s="6">
        <f>AB2+p_h</f>
        <v/>
      </c>
      <c r="AD2" s="6">
        <f>AC2+p_h</f>
        <v/>
      </c>
      <c r="AE2" s="6">
        <f>AD2+p_h</f>
        <v/>
      </c>
      <c r="AF2" s="6">
        <f>AE2+p_h</f>
        <v/>
      </c>
      <c r="AG2" s="6">
        <f>AF2+p_h</f>
        <v/>
      </c>
      <c r="AH2" s="6">
        <f>AG2+p_h</f>
        <v/>
      </c>
      <c r="AI2" s="6">
        <f>AH2+p_h</f>
        <v/>
      </c>
      <c r="AJ2" s="6">
        <f>AI2+p_h</f>
        <v/>
      </c>
      <c r="AK2" s="6">
        <f>AJ2+p_h</f>
        <v/>
      </c>
      <c r="AL2" s="6">
        <f>AK2+p_h</f>
        <v/>
      </c>
      <c r="AM2" s="6">
        <f>AL2+p_h</f>
        <v/>
      </c>
      <c r="AN2" s="6">
        <f>AM2+p_h</f>
        <v/>
      </c>
      <c r="AO2" s="6">
        <f>AN2+p_h</f>
        <v/>
      </c>
      <c r="AP2" s="6">
        <f>AO2+p_h</f>
        <v/>
      </c>
    </row>
    <row r="3">
      <c r="A3" s="7">
        <f>20*p_h</f>
        <v/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0</v>
      </c>
      <c r="M3" s="8" t="n">
        <v>0</v>
      </c>
      <c r="N3" s="8" t="n">
        <v>0</v>
      </c>
      <c r="O3" s="8" t="n">
        <v>0</v>
      </c>
      <c r="P3" s="8" t="n">
        <v>0</v>
      </c>
      <c r="Q3" s="8" t="n">
        <v>0</v>
      </c>
      <c r="R3" s="8" t="n">
        <v>0</v>
      </c>
      <c r="S3" s="8" t="n">
        <v>0</v>
      </c>
      <c r="T3" s="8" t="n">
        <v>0</v>
      </c>
      <c r="U3" s="8" t="n">
        <v>0</v>
      </c>
      <c r="V3" s="8" t="n">
        <v>0</v>
      </c>
      <c r="W3" s="8" t="n">
        <v>0</v>
      </c>
      <c r="X3" s="8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>
        <v>0</v>
      </c>
      <c r="AD3" s="8" t="n">
        <v>0</v>
      </c>
      <c r="AE3" s="8" t="n">
        <v>0</v>
      </c>
      <c r="AF3" s="8" t="n">
        <v>0</v>
      </c>
      <c r="AG3" s="8" t="n">
        <v>0</v>
      </c>
      <c r="AH3" s="8" t="n">
        <v>0</v>
      </c>
      <c r="AI3" s="8" t="n">
        <v>0</v>
      </c>
      <c r="AJ3" s="8" t="n">
        <v>0</v>
      </c>
      <c r="AK3" s="8" t="n">
        <v>0</v>
      </c>
      <c r="AL3" s="8" t="n">
        <v>0</v>
      </c>
      <c r="AM3" s="8" t="n">
        <v>0</v>
      </c>
      <c r="AN3" s="8" t="n">
        <v>0</v>
      </c>
      <c r="AO3" s="8" t="n">
        <v>0</v>
      </c>
      <c r="AP3" s="8" t="n">
        <v>0</v>
      </c>
    </row>
    <row r="4">
      <c r="A4" s="7">
        <f>A3-p_h</f>
        <v/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</row>
    <row r="5">
      <c r="A5" s="7">
        <f>A4-p_h</f>
        <v/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>
        <v>0</v>
      </c>
      <c r="AD5" s="8" t="n">
        <v>0</v>
      </c>
      <c r="AE5" s="8" t="n">
        <v>0</v>
      </c>
      <c r="AF5" s="8" t="n">
        <v>0</v>
      </c>
      <c r="AG5" s="8" t="n">
        <v>0</v>
      </c>
      <c r="AH5" s="8" t="n">
        <v>0</v>
      </c>
      <c r="AI5" s="8" t="n">
        <v>0</v>
      </c>
      <c r="AJ5" s="8" t="n">
        <v>0</v>
      </c>
      <c r="AK5" s="8" t="n">
        <v>0</v>
      </c>
      <c r="AL5" s="8" t="n">
        <v>0</v>
      </c>
      <c r="AM5" s="8" t="n">
        <v>0</v>
      </c>
      <c r="AN5" s="8" t="n">
        <v>0</v>
      </c>
      <c r="AO5" s="8" t="n">
        <v>0</v>
      </c>
      <c r="AP5" s="8" t="n">
        <v>0</v>
      </c>
    </row>
    <row r="6">
      <c r="A6" s="7">
        <f>A5-p_h</f>
        <v/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</row>
    <row r="7">
      <c r="A7" s="7">
        <f>A6-p_h</f>
        <v/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>
        <v>0</v>
      </c>
      <c r="AD7" s="8" t="n">
        <v>0</v>
      </c>
      <c r="AE7" s="8" t="n">
        <v>0</v>
      </c>
      <c r="AF7" s="8" t="n">
        <v>0</v>
      </c>
      <c r="AG7" s="8" t="n">
        <v>0</v>
      </c>
      <c r="AH7" s="8" t="n">
        <v>0</v>
      </c>
      <c r="AI7" s="8" t="n">
        <v>0</v>
      </c>
      <c r="AJ7" s="8" t="n">
        <v>0</v>
      </c>
      <c r="AK7" s="8" t="n">
        <v>0</v>
      </c>
      <c r="AL7" s="8" t="n">
        <v>0</v>
      </c>
      <c r="AM7" s="8" t="n">
        <v>0</v>
      </c>
      <c r="AN7" s="8" t="n">
        <v>0</v>
      </c>
      <c r="AO7" s="8" t="n">
        <v>0</v>
      </c>
      <c r="AP7" s="8" t="n">
        <v>0</v>
      </c>
    </row>
    <row r="8">
      <c r="A8" s="7">
        <f>A7-p_h</f>
        <v/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</row>
    <row r="9">
      <c r="A9" s="7">
        <f>A8-p_h</f>
        <v/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s="8" t="n">
        <v>0</v>
      </c>
      <c r="AE9" s="8" t="n">
        <v>0</v>
      </c>
      <c r="AF9" s="8" t="n">
        <v>0</v>
      </c>
      <c r="AG9" s="8" t="n">
        <v>0</v>
      </c>
      <c r="AH9" s="8" t="n">
        <v>0</v>
      </c>
      <c r="AI9" s="8" t="n">
        <v>0</v>
      </c>
      <c r="AJ9" s="8" t="n">
        <v>0</v>
      </c>
      <c r="AK9" s="8" t="n">
        <v>0</v>
      </c>
      <c r="AL9" s="8" t="n">
        <v>0</v>
      </c>
      <c r="AM9" s="8" t="n">
        <v>0</v>
      </c>
      <c r="AN9" s="8" t="n">
        <v>0</v>
      </c>
      <c r="AO9" s="8" t="n">
        <v>0</v>
      </c>
      <c r="AP9" s="8" t="n">
        <v>0</v>
      </c>
    </row>
    <row r="10">
      <c r="A10" s="7">
        <f>A9-p_h</f>
        <v/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</row>
    <row r="11">
      <c r="A11" s="7">
        <f>A10-p_h</f>
        <v/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8" t="n">
        <v>0</v>
      </c>
      <c r="AC11" s="8" t="n">
        <v>0</v>
      </c>
      <c r="AD11" s="8" t="n">
        <v>0</v>
      </c>
      <c r="AE11" s="8" t="n">
        <v>0</v>
      </c>
      <c r="AF11" s="8" t="n">
        <v>0</v>
      </c>
      <c r="AG11" s="8" t="n">
        <v>0</v>
      </c>
      <c r="AH11" s="8" t="n">
        <v>0</v>
      </c>
      <c r="AI11" s="8" t="n">
        <v>0</v>
      </c>
      <c r="AJ11" s="8" t="n">
        <v>0</v>
      </c>
      <c r="AK11" s="8" t="n">
        <v>0</v>
      </c>
      <c r="AL11" s="8" t="n">
        <v>0</v>
      </c>
      <c r="AM11" s="8" t="n">
        <v>0</v>
      </c>
      <c r="AN11" s="8" t="n">
        <v>0</v>
      </c>
      <c r="AO11" s="8" t="n">
        <v>0</v>
      </c>
      <c r="AP11" s="8" t="n">
        <v>0</v>
      </c>
    </row>
    <row r="12">
      <c r="A12" s="7">
        <f>A11-p_h</f>
        <v/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</row>
    <row r="13">
      <c r="A13" s="7">
        <f>A12-p_h</f>
        <v/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>
        <v>0</v>
      </c>
      <c r="AD13" s="8" t="n">
        <v>0</v>
      </c>
      <c r="AE13" s="8" t="n">
        <v>0</v>
      </c>
      <c r="AF13" s="8" t="n">
        <v>0</v>
      </c>
      <c r="AG13" s="8" t="n">
        <v>0</v>
      </c>
      <c r="AH13" s="8" t="n">
        <v>0</v>
      </c>
      <c r="AI13" s="8" t="n">
        <v>0</v>
      </c>
      <c r="AJ13" s="8" t="n">
        <v>0</v>
      </c>
      <c r="AK13" s="8" t="n">
        <v>0</v>
      </c>
      <c r="AL13" s="8" t="n">
        <v>0</v>
      </c>
      <c r="AM13" s="8" t="n">
        <v>0</v>
      </c>
      <c r="AN13" s="8" t="n">
        <v>0</v>
      </c>
      <c r="AO13" s="8" t="n">
        <v>0</v>
      </c>
      <c r="AP13" s="8" t="n">
        <v>0</v>
      </c>
    </row>
    <row r="14">
      <c r="A14" s="7">
        <f>A13-p_h</f>
        <v/>
      </c>
      <c r="B14" s="8" t="n">
        <v>0</v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</row>
    <row r="15">
      <c r="A15" s="7">
        <f>A14-p_h</f>
        <v/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>
        <v>0</v>
      </c>
      <c r="AD15" s="8" t="n">
        <v>0</v>
      </c>
      <c r="AE15" s="8" t="n">
        <v>0</v>
      </c>
      <c r="AF15" s="8" t="n">
        <v>0</v>
      </c>
      <c r="AG15" s="8" t="n">
        <v>0</v>
      </c>
      <c r="AH15" s="8" t="n">
        <v>0</v>
      </c>
      <c r="AI15" s="8" t="n">
        <v>0</v>
      </c>
      <c r="AJ15" s="8" t="n">
        <v>0</v>
      </c>
      <c r="AK15" s="8" t="n">
        <v>0</v>
      </c>
      <c r="AL15" s="8" t="n">
        <v>0</v>
      </c>
      <c r="AM15" s="8" t="n">
        <v>0</v>
      </c>
      <c r="AN15" s="8" t="n">
        <v>0</v>
      </c>
      <c r="AO15" s="8" t="n">
        <v>0</v>
      </c>
      <c r="AP15" s="8" t="n">
        <v>0</v>
      </c>
    </row>
    <row r="16">
      <c r="A16" s="7">
        <f>A15-p_h</f>
        <v/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</row>
    <row r="17">
      <c r="A17" s="7">
        <f>A16-p_h</f>
        <v/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>
        <v>0</v>
      </c>
      <c r="AD17" s="8" t="n">
        <v>0</v>
      </c>
      <c r="AE17" s="8" t="n">
        <v>0</v>
      </c>
      <c r="AF17" s="8" t="n">
        <v>0</v>
      </c>
      <c r="AG17" s="8" t="n">
        <v>0</v>
      </c>
      <c r="AH17" s="8" t="n">
        <v>0</v>
      </c>
      <c r="AI17" s="8" t="n">
        <v>0</v>
      </c>
      <c r="AJ17" s="8" t="n">
        <v>0</v>
      </c>
      <c r="AK17" s="8" t="n">
        <v>0</v>
      </c>
      <c r="AL17" s="8" t="n">
        <v>0</v>
      </c>
      <c r="AM17" s="8" t="n">
        <v>0</v>
      </c>
      <c r="AN17" s="8" t="n">
        <v>0</v>
      </c>
      <c r="AO17" s="8" t="n">
        <v>0</v>
      </c>
      <c r="AP17" s="8" t="n">
        <v>0</v>
      </c>
    </row>
    <row r="18">
      <c r="A18" s="7">
        <f>A17-p_h</f>
        <v/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1</v>
      </c>
      <c r="T18" s="8" t="n">
        <v>1</v>
      </c>
      <c r="U18" s="8" t="n">
        <v>1</v>
      </c>
      <c r="V18" s="8" t="n">
        <v>1</v>
      </c>
      <c r="W18" s="8" t="n">
        <v>1</v>
      </c>
      <c r="X18" s="8" t="n">
        <v>1</v>
      </c>
      <c r="Y18" s="8" t="n">
        <v>1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</row>
    <row r="19">
      <c r="A19" s="7">
        <f>A18-p_h</f>
        <v/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1</v>
      </c>
      <c r="S19" s="8" t="n">
        <v>1</v>
      </c>
      <c r="T19" s="8" t="n">
        <v>1</v>
      </c>
      <c r="U19" s="8" t="n">
        <v>1</v>
      </c>
      <c r="V19" s="8" t="n">
        <v>1</v>
      </c>
      <c r="W19" s="8" t="n">
        <v>1</v>
      </c>
      <c r="X19" s="8" t="n">
        <v>1</v>
      </c>
      <c r="Y19" s="8" t="n">
        <v>1</v>
      </c>
      <c r="Z19" s="8" t="n">
        <v>1</v>
      </c>
      <c r="AA19" s="8" t="n">
        <v>0</v>
      </c>
      <c r="AB19" s="8" t="n">
        <v>0</v>
      </c>
      <c r="AC19" s="8" t="n">
        <v>0</v>
      </c>
      <c r="AD19" s="8" t="n">
        <v>0</v>
      </c>
      <c r="AE19" s="8" t="n">
        <v>0</v>
      </c>
      <c r="AF19" s="8" t="n">
        <v>0</v>
      </c>
      <c r="AG19" s="8" t="n">
        <v>0</v>
      </c>
      <c r="AH19" s="8" t="n">
        <v>0</v>
      </c>
      <c r="AI19" s="8" t="n">
        <v>0</v>
      </c>
      <c r="AJ19" s="8" t="n">
        <v>0</v>
      </c>
      <c r="AK19" s="8" t="n">
        <v>0</v>
      </c>
      <c r="AL19" s="8" t="n">
        <v>0</v>
      </c>
      <c r="AM19" s="8" t="n">
        <v>0</v>
      </c>
      <c r="AN19" s="8" t="n">
        <v>0</v>
      </c>
      <c r="AO19" s="8" t="n">
        <v>0</v>
      </c>
      <c r="AP19" s="8" t="n">
        <v>0</v>
      </c>
    </row>
    <row r="20">
      <c r="A20" s="7">
        <f>A19-p_h</f>
        <v/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1</v>
      </c>
      <c r="R20" s="8" t="n">
        <v>1</v>
      </c>
      <c r="S20" s="8" t="n">
        <v>1</v>
      </c>
      <c r="T20" s="8" t="n">
        <v>1</v>
      </c>
      <c r="U20" s="8" t="n">
        <v>1</v>
      </c>
      <c r="V20" s="8" t="n">
        <v>1</v>
      </c>
      <c r="W20" s="8" t="n">
        <v>1</v>
      </c>
      <c r="X20" s="8" t="n">
        <v>1</v>
      </c>
      <c r="Y20" s="8" t="n">
        <v>1</v>
      </c>
      <c r="Z20" s="8" t="n">
        <v>1</v>
      </c>
      <c r="AA20" s="8" t="n">
        <v>1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</row>
    <row r="21">
      <c r="A21" s="7">
        <f>A20-p_h</f>
        <v/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1</v>
      </c>
      <c r="R21" s="8" t="n">
        <v>1</v>
      </c>
      <c r="S21" s="8" t="n">
        <v>1</v>
      </c>
      <c r="T21" s="8" t="n">
        <v>1</v>
      </c>
      <c r="U21" s="8" t="n">
        <v>1</v>
      </c>
      <c r="V21" s="8" t="n">
        <v>1</v>
      </c>
      <c r="W21" s="8" t="n">
        <v>1</v>
      </c>
      <c r="X21" s="8" t="n">
        <v>1</v>
      </c>
      <c r="Y21" s="8" t="n">
        <v>1</v>
      </c>
      <c r="Z21" s="8" t="n">
        <v>1</v>
      </c>
      <c r="AA21" s="8" t="n">
        <v>1</v>
      </c>
      <c r="AB21" s="8" t="n">
        <v>0</v>
      </c>
      <c r="AC21" s="8" t="n">
        <v>0</v>
      </c>
      <c r="AD21" s="8" t="n">
        <v>0</v>
      </c>
      <c r="AE21" s="8" t="n">
        <v>0</v>
      </c>
      <c r="AF21" s="8" t="n">
        <v>0</v>
      </c>
      <c r="AG21" s="8" t="n">
        <v>0</v>
      </c>
      <c r="AH21" s="8" t="n">
        <v>0</v>
      </c>
      <c r="AI21" s="8" t="n">
        <v>0</v>
      </c>
      <c r="AJ21" s="8" t="n">
        <v>0</v>
      </c>
      <c r="AK21" s="8" t="n">
        <v>0</v>
      </c>
      <c r="AL21" s="8" t="n">
        <v>0</v>
      </c>
      <c r="AM21" s="8" t="n">
        <v>0</v>
      </c>
      <c r="AN21" s="8" t="n">
        <v>0</v>
      </c>
      <c r="AO21" s="8" t="n">
        <v>0</v>
      </c>
      <c r="AP21" s="8" t="n">
        <v>0</v>
      </c>
    </row>
    <row r="22">
      <c r="A22" s="7">
        <f>A21-p_h</f>
        <v/>
      </c>
      <c r="B22" s="8" t="n">
        <v>0</v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1</v>
      </c>
      <c r="R22" s="8" t="n">
        <v>1</v>
      </c>
      <c r="S22" s="8" t="n">
        <v>1</v>
      </c>
      <c r="T22" s="8" t="n">
        <v>1</v>
      </c>
      <c r="U22" s="8" t="n">
        <v>1</v>
      </c>
      <c r="V22" s="8" t="n">
        <v>1</v>
      </c>
      <c r="W22" s="8" t="n">
        <v>1</v>
      </c>
      <c r="X22" s="8" t="n">
        <v>1</v>
      </c>
      <c r="Y22" s="8" t="n">
        <v>1</v>
      </c>
      <c r="Z22" s="8" t="n">
        <v>1</v>
      </c>
      <c r="AA22" s="8" t="n">
        <v>1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</row>
    <row r="23">
      <c r="A23" s="7">
        <f>A22-p_h</f>
        <v/>
      </c>
      <c r="B23" s="8" t="n">
        <v>0</v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1</v>
      </c>
      <c r="Q23" s="8" t="n">
        <v>1</v>
      </c>
      <c r="R23" s="8" t="n">
        <v>1</v>
      </c>
      <c r="S23" s="8" t="n">
        <v>1</v>
      </c>
      <c r="T23" s="8" t="n">
        <v>1</v>
      </c>
      <c r="U23" s="8" t="n">
        <v>1</v>
      </c>
      <c r="V23" s="8" t="n">
        <v>1</v>
      </c>
      <c r="W23" s="8" t="n">
        <v>1</v>
      </c>
      <c r="X23" s="8" t="n">
        <v>1</v>
      </c>
      <c r="Y23" s="8" t="n">
        <v>1</v>
      </c>
      <c r="Z23" s="8" t="n">
        <v>1</v>
      </c>
      <c r="AA23" s="8" t="n">
        <v>1</v>
      </c>
      <c r="AB23" s="8" t="n">
        <v>0</v>
      </c>
      <c r="AC23" s="8" t="n">
        <v>0</v>
      </c>
      <c r="AD23" s="8" t="n">
        <v>0</v>
      </c>
      <c r="AE23" s="8" t="n">
        <v>0</v>
      </c>
      <c r="AF23" s="8" t="n">
        <v>0</v>
      </c>
      <c r="AG23" s="8" t="n">
        <v>0</v>
      </c>
      <c r="AH23" s="8" t="n">
        <v>0</v>
      </c>
      <c r="AI23" s="8" t="n">
        <v>0</v>
      </c>
      <c r="AJ23" s="8" t="n">
        <v>0</v>
      </c>
      <c r="AK23" s="8" t="n">
        <v>0</v>
      </c>
      <c r="AL23" s="8" t="n">
        <v>0</v>
      </c>
      <c r="AM23" s="8" t="n">
        <v>0</v>
      </c>
      <c r="AN23" s="8" t="n">
        <v>0</v>
      </c>
      <c r="AO23" s="8" t="n">
        <v>0</v>
      </c>
      <c r="AP23" s="8" t="n">
        <v>0</v>
      </c>
    </row>
  </sheetData>
  <conditionalFormatting sqref="B3:AP23">
    <cfRule type="expression" priority="1" dxfId="0">
      <formula>B3=1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90" customWidth="1" min="3" max="3"/>
  </cols>
  <sheetData>
    <row r="1">
      <c r="A1" s="1" t="inlineStr">
        <is>
          <t>2D potential flow over a bump  -  inputs &amp; monitors</t>
        </is>
      </c>
    </row>
    <row r="2">
      <c r="A2" s="9" t="inlineStr">
        <is>
          <t>Blue on yellow = you may edit.  Black = calculated by the workbook.</t>
        </is>
      </c>
    </row>
    <row r="4">
      <c r="A4" s="10" t="inlineStr">
        <is>
          <t>RUN CONTROL</t>
        </is>
      </c>
      <c r="B4" s="11" t="n"/>
      <c r="C4" s="11" t="n"/>
    </row>
    <row r="5">
      <c r="A5" s="12" t="inlineStr">
        <is>
          <t>Reset (1 = initialise, 0 = run)</t>
        </is>
      </c>
      <c r="B5" s="13" t="n">
        <v>0</v>
      </c>
      <c r="C5" s="14" t="inlineStr">
        <is>
          <t>Set to 1 to restore psi = U*y everywhere, then back to 0.</t>
        </is>
      </c>
    </row>
    <row r="6">
      <c r="A6" s="10" t="inlineStr">
        <is>
          <t>FLOW</t>
        </is>
      </c>
      <c r="B6" s="11" t="n"/>
      <c r="C6" s="11" t="n"/>
    </row>
    <row r="7">
      <c r="A7" s="12" t="inlineStr">
        <is>
          <t>Free-stream speed U [m/s]</t>
        </is>
      </c>
      <c r="B7" s="13" t="n">
        <v>1</v>
      </c>
      <c r="C7" s="14" t="inlineStr">
        <is>
          <t>Uniform inlet flow in +x</t>
        </is>
      </c>
    </row>
    <row r="8">
      <c r="A8" s="12" t="inlineStr">
        <is>
          <t>Streamline spacing d(psi)</t>
        </is>
      </c>
      <c r="B8" s="13" t="n">
        <v>0.05</v>
      </c>
      <c r="C8" s="14" t="inlineStr">
        <is>
          <t>Dark bands on the Psi sheet are lines of constant psi</t>
        </is>
      </c>
    </row>
    <row r="9">
      <c r="A9" s="10" t="inlineStr">
        <is>
          <t>GRID</t>
        </is>
      </c>
      <c r="B9" s="11" t="n"/>
      <c r="C9" s="11" t="n"/>
    </row>
    <row r="10">
      <c r="A10" s="12" t="inlineStr">
        <is>
          <t>Nodes in x (NX)</t>
        </is>
      </c>
      <c r="B10" s="12" t="n">
        <v>41</v>
      </c>
      <c r="C10" s="14" t="inlineStr">
        <is>
          <t>Fixed by layout; re-run generate_workbooks.py to change</t>
        </is>
      </c>
    </row>
    <row r="11">
      <c r="A11" s="12" t="inlineStr">
        <is>
          <t>Nodes in y (NY)</t>
        </is>
      </c>
      <c r="B11" s="12" t="n">
        <v>21</v>
      </c>
      <c r="C11" s="14" t="inlineStr">
        <is>
          <t>Channel height = 1 m, length = (NX-1)/(NY-1) m</t>
        </is>
      </c>
    </row>
    <row r="12">
      <c r="A12" s="12" t="inlineStr">
        <is>
          <t>Grid spacing h [m]</t>
        </is>
      </c>
      <c r="B12" s="12">
        <f>1/(p_NY-1)</f>
        <v/>
      </c>
      <c r="C12" s="14" t="inlineStr"/>
    </row>
    <row r="13">
      <c r="A13" s="10" t="inlineStr">
        <is>
          <t>MONITORS</t>
        </is>
      </c>
      <c r="B13" s="11" t="n"/>
      <c r="C13" s="11" t="n"/>
    </row>
    <row r="14">
      <c r="A14" s="12" t="inlineStr">
        <is>
          <t>Max speed [m/s]</t>
        </is>
      </c>
      <c r="B14" s="12">
        <f>MAX(Speed!B3:AP23)</f>
        <v/>
      </c>
      <c r="C14" s="14" t="inlineStr">
        <is>
          <t>Ideal flow accelerates over the bump crest</t>
        </is>
      </c>
    </row>
    <row r="15">
      <c r="A15" s="12" t="inlineStr">
        <is>
          <t>Min speed (fluid only) [m/s]</t>
        </is>
      </c>
      <c r="B15" s="12">
        <f>MIN(Speed!B3:AP23)</f>
        <v/>
      </c>
      <c r="C15" s="14" t="inlineStr">
        <is>
          <t>Low near the stagnation points ahead of / behind the bump</t>
        </is>
      </c>
    </row>
    <row r="16">
      <c r="A16" s="12" t="inlineStr">
        <is>
          <t>Max |v| (vertical velocity) [m/s]</t>
        </is>
      </c>
      <c r="B16" s="12">
        <f>MAX(MAX(v_vel!B3:AP23),-MIN(v_vel!B3:AP23))</f>
        <v/>
      </c>
      <c r="C16" s="14" t="inlineStr">
        <is>
          <t>Vertical deflection of the stream; stops changing when converged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2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</cols>
  <sheetData>
    <row r="1">
      <c r="A1" s="4" t="inlineStr">
        <is>
          <t>Stream function psi   (u = dpsi/dy, v = -dpsi/dx)</t>
        </is>
      </c>
    </row>
    <row r="2">
      <c r="A2" s="5" t="inlineStr">
        <is>
          <t>y \ x</t>
        </is>
      </c>
      <c r="B2" s="6" t="n">
        <v>0</v>
      </c>
      <c r="C2" s="6">
        <f>B2+p_h</f>
        <v/>
      </c>
      <c r="D2" s="6">
        <f>C2+p_h</f>
        <v/>
      </c>
      <c r="E2" s="6">
        <f>D2+p_h</f>
        <v/>
      </c>
      <c r="F2" s="6">
        <f>E2+p_h</f>
        <v/>
      </c>
      <c r="G2" s="6">
        <f>F2+p_h</f>
        <v/>
      </c>
      <c r="H2" s="6">
        <f>G2+p_h</f>
        <v/>
      </c>
      <c r="I2" s="6">
        <f>H2+p_h</f>
        <v/>
      </c>
      <c r="J2" s="6">
        <f>I2+p_h</f>
        <v/>
      </c>
      <c r="K2" s="6">
        <f>J2+p_h</f>
        <v/>
      </c>
      <c r="L2" s="6">
        <f>K2+p_h</f>
        <v/>
      </c>
      <c r="M2" s="6">
        <f>L2+p_h</f>
        <v/>
      </c>
      <c r="N2" s="6">
        <f>M2+p_h</f>
        <v/>
      </c>
      <c r="O2" s="6">
        <f>N2+p_h</f>
        <v/>
      </c>
      <c r="P2" s="6">
        <f>O2+p_h</f>
        <v/>
      </c>
      <c r="Q2" s="6">
        <f>P2+p_h</f>
        <v/>
      </c>
      <c r="R2" s="6">
        <f>Q2+p_h</f>
        <v/>
      </c>
      <c r="S2" s="6">
        <f>R2+p_h</f>
        <v/>
      </c>
      <c r="T2" s="6">
        <f>S2+p_h</f>
        <v/>
      </c>
      <c r="U2" s="6">
        <f>T2+p_h</f>
        <v/>
      </c>
      <c r="V2" s="6">
        <f>U2+p_h</f>
        <v/>
      </c>
      <c r="W2" s="6">
        <f>V2+p_h</f>
        <v/>
      </c>
      <c r="X2" s="6">
        <f>W2+p_h</f>
        <v/>
      </c>
      <c r="Y2" s="6">
        <f>X2+p_h</f>
        <v/>
      </c>
      <c r="Z2" s="6">
        <f>Y2+p_h</f>
        <v/>
      </c>
      <c r="AA2" s="6">
        <f>Z2+p_h</f>
        <v/>
      </c>
      <c r="AB2" s="6">
        <f>AA2+p_h</f>
        <v/>
      </c>
      <c r="AC2" s="6">
        <f>AB2+p_h</f>
        <v/>
      </c>
      <c r="AD2" s="6">
        <f>AC2+p_h</f>
        <v/>
      </c>
      <c r="AE2" s="6">
        <f>AD2+p_h</f>
        <v/>
      </c>
      <c r="AF2" s="6">
        <f>AE2+p_h</f>
        <v/>
      </c>
      <c r="AG2" s="6">
        <f>AF2+p_h</f>
        <v/>
      </c>
      <c r="AH2" s="6">
        <f>AG2+p_h</f>
        <v/>
      </c>
      <c r="AI2" s="6">
        <f>AH2+p_h</f>
        <v/>
      </c>
      <c r="AJ2" s="6">
        <f>AI2+p_h</f>
        <v/>
      </c>
      <c r="AK2" s="6">
        <f>AJ2+p_h</f>
        <v/>
      </c>
      <c r="AL2" s="6">
        <f>AK2+p_h</f>
        <v/>
      </c>
      <c r="AM2" s="6">
        <f>AL2+p_h</f>
        <v/>
      </c>
      <c r="AN2" s="6">
        <f>AM2+p_h</f>
        <v/>
      </c>
      <c r="AO2" s="6">
        <f>AN2+p_h</f>
        <v/>
      </c>
      <c r="AP2" s="6">
        <f>AO2+p_h</f>
        <v/>
      </c>
    </row>
    <row r="3">
      <c r="A3" s="7">
        <f>20*p_h</f>
        <v/>
      </c>
      <c r="B3" s="15">
        <f>p_U*$A3</f>
        <v/>
      </c>
      <c r="C3" s="15">
        <f>p_U*$A3</f>
        <v/>
      </c>
      <c r="D3" s="15">
        <f>p_U*$A3</f>
        <v/>
      </c>
      <c r="E3" s="15">
        <f>p_U*$A3</f>
        <v/>
      </c>
      <c r="F3" s="15">
        <f>p_U*$A3</f>
        <v/>
      </c>
      <c r="G3" s="15">
        <f>p_U*$A3</f>
        <v/>
      </c>
      <c r="H3" s="15">
        <f>p_U*$A3</f>
        <v/>
      </c>
      <c r="I3" s="15">
        <f>p_U*$A3</f>
        <v/>
      </c>
      <c r="J3" s="15">
        <f>p_U*$A3</f>
        <v/>
      </c>
      <c r="K3" s="15">
        <f>p_U*$A3</f>
        <v/>
      </c>
      <c r="L3" s="15">
        <f>p_U*$A3</f>
        <v/>
      </c>
      <c r="M3" s="15">
        <f>p_U*$A3</f>
        <v/>
      </c>
      <c r="N3" s="15">
        <f>p_U*$A3</f>
        <v/>
      </c>
      <c r="O3" s="15">
        <f>p_U*$A3</f>
        <v/>
      </c>
      <c r="P3" s="15">
        <f>p_U*$A3</f>
        <v/>
      </c>
      <c r="Q3" s="15">
        <f>p_U*$A3</f>
        <v/>
      </c>
      <c r="R3" s="15">
        <f>p_U*$A3</f>
        <v/>
      </c>
      <c r="S3" s="15">
        <f>p_U*$A3</f>
        <v/>
      </c>
      <c r="T3" s="15">
        <f>p_U*$A3</f>
        <v/>
      </c>
      <c r="U3" s="15">
        <f>p_U*$A3</f>
        <v/>
      </c>
      <c r="V3" s="15">
        <f>p_U*$A3</f>
        <v/>
      </c>
      <c r="W3" s="15">
        <f>p_U*$A3</f>
        <v/>
      </c>
      <c r="X3" s="15">
        <f>p_U*$A3</f>
        <v/>
      </c>
      <c r="Y3" s="15">
        <f>p_U*$A3</f>
        <v/>
      </c>
      <c r="Z3" s="15">
        <f>p_U*$A3</f>
        <v/>
      </c>
      <c r="AA3" s="15">
        <f>p_U*$A3</f>
        <v/>
      </c>
      <c r="AB3" s="15">
        <f>p_U*$A3</f>
        <v/>
      </c>
      <c r="AC3" s="15">
        <f>p_U*$A3</f>
        <v/>
      </c>
      <c r="AD3" s="15">
        <f>p_U*$A3</f>
        <v/>
      </c>
      <c r="AE3" s="15">
        <f>p_U*$A3</f>
        <v/>
      </c>
      <c r="AF3" s="15">
        <f>p_U*$A3</f>
        <v/>
      </c>
      <c r="AG3" s="15">
        <f>p_U*$A3</f>
        <v/>
      </c>
      <c r="AH3" s="15">
        <f>p_U*$A3</f>
        <v/>
      </c>
      <c r="AI3" s="15">
        <f>p_U*$A3</f>
        <v/>
      </c>
      <c r="AJ3" s="15">
        <f>p_U*$A3</f>
        <v/>
      </c>
      <c r="AK3" s="15">
        <f>p_U*$A3</f>
        <v/>
      </c>
      <c r="AL3" s="15">
        <f>p_U*$A3</f>
        <v/>
      </c>
      <c r="AM3" s="15">
        <f>p_U*$A3</f>
        <v/>
      </c>
      <c r="AN3" s="15">
        <f>p_U*$A3</f>
        <v/>
      </c>
      <c r="AO3" s="15">
        <f>p_U*$A3</f>
        <v/>
      </c>
      <c r="AP3" s="15">
        <f>p_U*$A3</f>
        <v/>
      </c>
    </row>
    <row r="4">
      <c r="A4" s="7">
        <f>A3-p_h</f>
        <v/>
      </c>
      <c r="B4" s="15">
        <f>p_U*$A4</f>
        <v/>
      </c>
      <c r="C4" s="15">
        <f>IF(Mask!C4=1,0,IF(p_reset=1,p_U*$A4,0.25*(D4+B4+C3+C5)))</f>
        <v/>
      </c>
      <c r="D4" s="15">
        <f>IF(Mask!D4=1,0,IF(p_reset=1,p_U*$A4,0.25*(E4+C4+D3+D5)))</f>
        <v/>
      </c>
      <c r="E4" s="15">
        <f>IF(Mask!E4=1,0,IF(p_reset=1,p_U*$A4,0.25*(F4+D4+E3+E5)))</f>
        <v/>
      </c>
      <c r="F4" s="15">
        <f>IF(Mask!F4=1,0,IF(p_reset=1,p_U*$A4,0.25*(G4+E4+F3+F5)))</f>
        <v/>
      </c>
      <c r="G4" s="15">
        <f>IF(Mask!G4=1,0,IF(p_reset=1,p_U*$A4,0.25*(H4+F4+G3+G5)))</f>
        <v/>
      </c>
      <c r="H4" s="15">
        <f>IF(Mask!H4=1,0,IF(p_reset=1,p_U*$A4,0.25*(I4+G4+H3+H5)))</f>
        <v/>
      </c>
      <c r="I4" s="15">
        <f>IF(Mask!I4=1,0,IF(p_reset=1,p_U*$A4,0.25*(J4+H4+I3+I5)))</f>
        <v/>
      </c>
      <c r="J4" s="15">
        <f>IF(Mask!J4=1,0,IF(p_reset=1,p_U*$A4,0.25*(K4+I4+J3+J5)))</f>
        <v/>
      </c>
      <c r="K4" s="15">
        <f>IF(Mask!K4=1,0,IF(p_reset=1,p_U*$A4,0.25*(L4+J4+K3+K5)))</f>
        <v/>
      </c>
      <c r="L4" s="15">
        <f>IF(Mask!L4=1,0,IF(p_reset=1,p_U*$A4,0.25*(M4+K4+L3+L5)))</f>
        <v/>
      </c>
      <c r="M4" s="15">
        <f>IF(Mask!M4=1,0,IF(p_reset=1,p_U*$A4,0.25*(N4+L4+M3+M5)))</f>
        <v/>
      </c>
      <c r="N4" s="15">
        <f>IF(Mask!N4=1,0,IF(p_reset=1,p_U*$A4,0.25*(O4+M4+N3+N5)))</f>
        <v/>
      </c>
      <c r="O4" s="15">
        <f>IF(Mask!O4=1,0,IF(p_reset=1,p_U*$A4,0.25*(P4+N4+O3+O5)))</f>
        <v/>
      </c>
      <c r="P4" s="15">
        <f>IF(Mask!P4=1,0,IF(p_reset=1,p_U*$A4,0.25*(Q4+O4+P3+P5)))</f>
        <v/>
      </c>
      <c r="Q4" s="15">
        <f>IF(Mask!Q4=1,0,IF(p_reset=1,p_U*$A4,0.25*(R4+P4+Q3+Q5)))</f>
        <v/>
      </c>
      <c r="R4" s="15">
        <f>IF(Mask!R4=1,0,IF(p_reset=1,p_U*$A4,0.25*(S4+Q4+R3+R5)))</f>
        <v/>
      </c>
      <c r="S4" s="15">
        <f>IF(Mask!S4=1,0,IF(p_reset=1,p_U*$A4,0.25*(T4+R4+S3+S5)))</f>
        <v/>
      </c>
      <c r="T4" s="15">
        <f>IF(Mask!T4=1,0,IF(p_reset=1,p_U*$A4,0.25*(U4+S4+T3+T5)))</f>
        <v/>
      </c>
      <c r="U4" s="15">
        <f>IF(Mask!U4=1,0,IF(p_reset=1,p_U*$A4,0.25*(V4+T4+U3+U5)))</f>
        <v/>
      </c>
      <c r="V4" s="15">
        <f>IF(Mask!V4=1,0,IF(p_reset=1,p_U*$A4,0.25*(W4+U4+V3+V5)))</f>
        <v/>
      </c>
      <c r="W4" s="15">
        <f>IF(Mask!W4=1,0,IF(p_reset=1,p_U*$A4,0.25*(X4+V4+W3+W5)))</f>
        <v/>
      </c>
      <c r="X4" s="15">
        <f>IF(Mask!X4=1,0,IF(p_reset=1,p_U*$A4,0.25*(Y4+W4+X3+X5)))</f>
        <v/>
      </c>
      <c r="Y4" s="15">
        <f>IF(Mask!Y4=1,0,IF(p_reset=1,p_U*$A4,0.25*(Z4+X4+Y3+Y5)))</f>
        <v/>
      </c>
      <c r="Z4" s="15">
        <f>IF(Mask!Z4=1,0,IF(p_reset=1,p_U*$A4,0.25*(AA4+Y4+Z3+Z5)))</f>
        <v/>
      </c>
      <c r="AA4" s="15">
        <f>IF(Mask!AA4=1,0,IF(p_reset=1,p_U*$A4,0.25*(AB4+Z4+AA3+AA5)))</f>
        <v/>
      </c>
      <c r="AB4" s="15">
        <f>IF(Mask!AB4=1,0,IF(p_reset=1,p_U*$A4,0.25*(AC4+AA4+AB3+AB5)))</f>
        <v/>
      </c>
      <c r="AC4" s="15">
        <f>IF(Mask!AC4=1,0,IF(p_reset=1,p_U*$A4,0.25*(AD4+AB4+AC3+AC5)))</f>
        <v/>
      </c>
      <c r="AD4" s="15">
        <f>IF(Mask!AD4=1,0,IF(p_reset=1,p_U*$A4,0.25*(AE4+AC4+AD3+AD5)))</f>
        <v/>
      </c>
      <c r="AE4" s="15">
        <f>IF(Mask!AE4=1,0,IF(p_reset=1,p_U*$A4,0.25*(AF4+AD4+AE3+AE5)))</f>
        <v/>
      </c>
      <c r="AF4" s="15">
        <f>IF(Mask!AF4=1,0,IF(p_reset=1,p_U*$A4,0.25*(AG4+AE4+AF3+AF5)))</f>
        <v/>
      </c>
      <c r="AG4" s="15">
        <f>IF(Mask!AG4=1,0,IF(p_reset=1,p_U*$A4,0.25*(AH4+AF4+AG3+AG5)))</f>
        <v/>
      </c>
      <c r="AH4" s="15">
        <f>IF(Mask!AH4=1,0,IF(p_reset=1,p_U*$A4,0.25*(AI4+AG4+AH3+AH5)))</f>
        <v/>
      </c>
      <c r="AI4" s="15">
        <f>IF(Mask!AI4=1,0,IF(p_reset=1,p_U*$A4,0.25*(AJ4+AH4+AI3+AI5)))</f>
        <v/>
      </c>
      <c r="AJ4" s="15">
        <f>IF(Mask!AJ4=1,0,IF(p_reset=1,p_U*$A4,0.25*(AK4+AI4+AJ3+AJ5)))</f>
        <v/>
      </c>
      <c r="AK4" s="15">
        <f>IF(Mask!AK4=1,0,IF(p_reset=1,p_U*$A4,0.25*(AL4+AJ4+AK3+AK5)))</f>
        <v/>
      </c>
      <c r="AL4" s="15">
        <f>IF(Mask!AL4=1,0,IF(p_reset=1,p_U*$A4,0.25*(AM4+AK4+AL3+AL5)))</f>
        <v/>
      </c>
      <c r="AM4" s="15">
        <f>IF(Mask!AM4=1,0,IF(p_reset=1,p_U*$A4,0.25*(AN4+AL4+AM3+AM5)))</f>
        <v/>
      </c>
      <c r="AN4" s="15">
        <f>IF(Mask!AN4=1,0,IF(p_reset=1,p_U*$A4,0.25*(AO4+AM4+AN3+AN5)))</f>
        <v/>
      </c>
      <c r="AO4" s="15">
        <f>IF(Mask!AO4=1,0,IF(p_reset=1,p_U*$A4,0.25*(AP4+AN4+AO3+AO5)))</f>
        <v/>
      </c>
      <c r="AP4" s="15">
        <f>IF(p_reset=1,p_U*$A4,AO4)</f>
        <v/>
      </c>
    </row>
    <row r="5">
      <c r="A5" s="7">
        <f>A4-p_h</f>
        <v/>
      </c>
      <c r="B5" s="15">
        <f>p_U*$A5</f>
        <v/>
      </c>
      <c r="C5" s="15">
        <f>IF(Mask!C5=1,0,IF(p_reset=1,p_U*$A5,0.25*(D5+B5+C4+C6)))</f>
        <v/>
      </c>
      <c r="D5" s="15">
        <f>IF(Mask!D5=1,0,IF(p_reset=1,p_U*$A5,0.25*(E5+C5+D4+D6)))</f>
        <v/>
      </c>
      <c r="E5" s="15">
        <f>IF(Mask!E5=1,0,IF(p_reset=1,p_U*$A5,0.25*(F5+D5+E4+E6)))</f>
        <v/>
      </c>
      <c r="F5" s="15">
        <f>IF(Mask!F5=1,0,IF(p_reset=1,p_U*$A5,0.25*(G5+E5+F4+F6)))</f>
        <v/>
      </c>
      <c r="G5" s="15">
        <f>IF(Mask!G5=1,0,IF(p_reset=1,p_U*$A5,0.25*(H5+F5+G4+G6)))</f>
        <v/>
      </c>
      <c r="H5" s="15">
        <f>IF(Mask!H5=1,0,IF(p_reset=1,p_U*$A5,0.25*(I5+G5+H4+H6)))</f>
        <v/>
      </c>
      <c r="I5" s="15">
        <f>IF(Mask!I5=1,0,IF(p_reset=1,p_U*$A5,0.25*(J5+H5+I4+I6)))</f>
        <v/>
      </c>
      <c r="J5" s="15">
        <f>IF(Mask!J5=1,0,IF(p_reset=1,p_U*$A5,0.25*(K5+I5+J4+J6)))</f>
        <v/>
      </c>
      <c r="K5" s="15">
        <f>IF(Mask!K5=1,0,IF(p_reset=1,p_U*$A5,0.25*(L5+J5+K4+K6)))</f>
        <v/>
      </c>
      <c r="L5" s="15">
        <f>IF(Mask!L5=1,0,IF(p_reset=1,p_U*$A5,0.25*(M5+K5+L4+L6)))</f>
        <v/>
      </c>
      <c r="M5" s="15">
        <f>IF(Mask!M5=1,0,IF(p_reset=1,p_U*$A5,0.25*(N5+L5+M4+M6)))</f>
        <v/>
      </c>
      <c r="N5" s="15">
        <f>IF(Mask!N5=1,0,IF(p_reset=1,p_U*$A5,0.25*(O5+M5+N4+N6)))</f>
        <v/>
      </c>
      <c r="O5" s="15">
        <f>IF(Mask!O5=1,0,IF(p_reset=1,p_U*$A5,0.25*(P5+N5+O4+O6)))</f>
        <v/>
      </c>
      <c r="P5" s="15">
        <f>IF(Mask!P5=1,0,IF(p_reset=1,p_U*$A5,0.25*(Q5+O5+P4+P6)))</f>
        <v/>
      </c>
      <c r="Q5" s="15">
        <f>IF(Mask!Q5=1,0,IF(p_reset=1,p_U*$A5,0.25*(R5+P5+Q4+Q6)))</f>
        <v/>
      </c>
      <c r="R5" s="15">
        <f>IF(Mask!R5=1,0,IF(p_reset=1,p_U*$A5,0.25*(S5+Q5+R4+R6)))</f>
        <v/>
      </c>
      <c r="S5" s="15">
        <f>IF(Mask!S5=1,0,IF(p_reset=1,p_U*$A5,0.25*(T5+R5+S4+S6)))</f>
        <v/>
      </c>
      <c r="T5" s="15">
        <f>IF(Mask!T5=1,0,IF(p_reset=1,p_U*$A5,0.25*(U5+S5+T4+T6)))</f>
        <v/>
      </c>
      <c r="U5" s="15">
        <f>IF(Mask!U5=1,0,IF(p_reset=1,p_U*$A5,0.25*(V5+T5+U4+U6)))</f>
        <v/>
      </c>
      <c r="V5" s="15">
        <f>IF(Mask!V5=1,0,IF(p_reset=1,p_U*$A5,0.25*(W5+U5+V4+V6)))</f>
        <v/>
      </c>
      <c r="W5" s="15">
        <f>IF(Mask!W5=1,0,IF(p_reset=1,p_U*$A5,0.25*(X5+V5+W4+W6)))</f>
        <v/>
      </c>
      <c r="X5" s="15">
        <f>IF(Mask!X5=1,0,IF(p_reset=1,p_U*$A5,0.25*(Y5+W5+X4+X6)))</f>
        <v/>
      </c>
      <c r="Y5" s="15">
        <f>IF(Mask!Y5=1,0,IF(p_reset=1,p_U*$A5,0.25*(Z5+X5+Y4+Y6)))</f>
        <v/>
      </c>
      <c r="Z5" s="15">
        <f>IF(Mask!Z5=1,0,IF(p_reset=1,p_U*$A5,0.25*(AA5+Y5+Z4+Z6)))</f>
        <v/>
      </c>
      <c r="AA5" s="15">
        <f>IF(Mask!AA5=1,0,IF(p_reset=1,p_U*$A5,0.25*(AB5+Z5+AA4+AA6)))</f>
        <v/>
      </c>
      <c r="AB5" s="15">
        <f>IF(Mask!AB5=1,0,IF(p_reset=1,p_U*$A5,0.25*(AC5+AA5+AB4+AB6)))</f>
        <v/>
      </c>
      <c r="AC5" s="15">
        <f>IF(Mask!AC5=1,0,IF(p_reset=1,p_U*$A5,0.25*(AD5+AB5+AC4+AC6)))</f>
        <v/>
      </c>
      <c r="AD5" s="15">
        <f>IF(Mask!AD5=1,0,IF(p_reset=1,p_U*$A5,0.25*(AE5+AC5+AD4+AD6)))</f>
        <v/>
      </c>
      <c r="AE5" s="15">
        <f>IF(Mask!AE5=1,0,IF(p_reset=1,p_U*$A5,0.25*(AF5+AD5+AE4+AE6)))</f>
        <v/>
      </c>
      <c r="AF5" s="15">
        <f>IF(Mask!AF5=1,0,IF(p_reset=1,p_U*$A5,0.25*(AG5+AE5+AF4+AF6)))</f>
        <v/>
      </c>
      <c r="AG5" s="15">
        <f>IF(Mask!AG5=1,0,IF(p_reset=1,p_U*$A5,0.25*(AH5+AF5+AG4+AG6)))</f>
        <v/>
      </c>
      <c r="AH5" s="15">
        <f>IF(Mask!AH5=1,0,IF(p_reset=1,p_U*$A5,0.25*(AI5+AG5+AH4+AH6)))</f>
        <v/>
      </c>
      <c r="AI5" s="15">
        <f>IF(Mask!AI5=1,0,IF(p_reset=1,p_U*$A5,0.25*(AJ5+AH5+AI4+AI6)))</f>
        <v/>
      </c>
      <c r="AJ5" s="15">
        <f>IF(Mask!AJ5=1,0,IF(p_reset=1,p_U*$A5,0.25*(AK5+AI5+AJ4+AJ6)))</f>
        <v/>
      </c>
      <c r="AK5" s="15">
        <f>IF(Mask!AK5=1,0,IF(p_reset=1,p_U*$A5,0.25*(AL5+AJ5+AK4+AK6)))</f>
        <v/>
      </c>
      <c r="AL5" s="15">
        <f>IF(Mask!AL5=1,0,IF(p_reset=1,p_U*$A5,0.25*(AM5+AK5+AL4+AL6)))</f>
        <v/>
      </c>
      <c r="AM5" s="15">
        <f>IF(Mask!AM5=1,0,IF(p_reset=1,p_U*$A5,0.25*(AN5+AL5+AM4+AM6)))</f>
        <v/>
      </c>
      <c r="AN5" s="15">
        <f>IF(Mask!AN5=1,0,IF(p_reset=1,p_U*$A5,0.25*(AO5+AM5+AN4+AN6)))</f>
        <v/>
      </c>
      <c r="AO5" s="15">
        <f>IF(Mask!AO5=1,0,IF(p_reset=1,p_U*$A5,0.25*(AP5+AN5+AO4+AO6)))</f>
        <v/>
      </c>
      <c r="AP5" s="15">
        <f>IF(p_reset=1,p_U*$A5,AO5)</f>
        <v/>
      </c>
    </row>
    <row r="6">
      <c r="A6" s="7">
        <f>A5-p_h</f>
        <v/>
      </c>
      <c r="B6" s="15">
        <f>p_U*$A6</f>
        <v/>
      </c>
      <c r="C6" s="15">
        <f>IF(Mask!C6=1,0,IF(p_reset=1,p_U*$A6,0.25*(D6+B6+C5+C7)))</f>
        <v/>
      </c>
      <c r="D6" s="15">
        <f>IF(Mask!D6=1,0,IF(p_reset=1,p_U*$A6,0.25*(E6+C6+D5+D7)))</f>
        <v/>
      </c>
      <c r="E6" s="15">
        <f>IF(Mask!E6=1,0,IF(p_reset=1,p_U*$A6,0.25*(F6+D6+E5+E7)))</f>
        <v/>
      </c>
      <c r="F6" s="15">
        <f>IF(Mask!F6=1,0,IF(p_reset=1,p_U*$A6,0.25*(G6+E6+F5+F7)))</f>
        <v/>
      </c>
      <c r="G6" s="15">
        <f>IF(Mask!G6=1,0,IF(p_reset=1,p_U*$A6,0.25*(H6+F6+G5+G7)))</f>
        <v/>
      </c>
      <c r="H6" s="15">
        <f>IF(Mask!H6=1,0,IF(p_reset=1,p_U*$A6,0.25*(I6+G6+H5+H7)))</f>
        <v/>
      </c>
      <c r="I6" s="15">
        <f>IF(Mask!I6=1,0,IF(p_reset=1,p_U*$A6,0.25*(J6+H6+I5+I7)))</f>
        <v/>
      </c>
      <c r="J6" s="15">
        <f>IF(Mask!J6=1,0,IF(p_reset=1,p_U*$A6,0.25*(K6+I6+J5+J7)))</f>
        <v/>
      </c>
      <c r="K6" s="15">
        <f>IF(Mask!K6=1,0,IF(p_reset=1,p_U*$A6,0.25*(L6+J6+K5+K7)))</f>
        <v/>
      </c>
      <c r="L6" s="15">
        <f>IF(Mask!L6=1,0,IF(p_reset=1,p_U*$A6,0.25*(M6+K6+L5+L7)))</f>
        <v/>
      </c>
      <c r="M6" s="15">
        <f>IF(Mask!M6=1,0,IF(p_reset=1,p_U*$A6,0.25*(N6+L6+M5+M7)))</f>
        <v/>
      </c>
      <c r="N6" s="15">
        <f>IF(Mask!N6=1,0,IF(p_reset=1,p_U*$A6,0.25*(O6+M6+N5+N7)))</f>
        <v/>
      </c>
      <c r="O6" s="15">
        <f>IF(Mask!O6=1,0,IF(p_reset=1,p_U*$A6,0.25*(P6+N6+O5+O7)))</f>
        <v/>
      </c>
      <c r="P6" s="15">
        <f>IF(Mask!P6=1,0,IF(p_reset=1,p_U*$A6,0.25*(Q6+O6+P5+P7)))</f>
        <v/>
      </c>
      <c r="Q6" s="15">
        <f>IF(Mask!Q6=1,0,IF(p_reset=1,p_U*$A6,0.25*(R6+P6+Q5+Q7)))</f>
        <v/>
      </c>
      <c r="R6" s="15">
        <f>IF(Mask!R6=1,0,IF(p_reset=1,p_U*$A6,0.25*(S6+Q6+R5+R7)))</f>
        <v/>
      </c>
      <c r="S6" s="15">
        <f>IF(Mask!S6=1,0,IF(p_reset=1,p_U*$A6,0.25*(T6+R6+S5+S7)))</f>
        <v/>
      </c>
      <c r="T6" s="15">
        <f>IF(Mask!T6=1,0,IF(p_reset=1,p_U*$A6,0.25*(U6+S6+T5+T7)))</f>
        <v/>
      </c>
      <c r="U6" s="15">
        <f>IF(Mask!U6=1,0,IF(p_reset=1,p_U*$A6,0.25*(V6+T6+U5+U7)))</f>
        <v/>
      </c>
      <c r="V6" s="15">
        <f>IF(Mask!V6=1,0,IF(p_reset=1,p_U*$A6,0.25*(W6+U6+V5+V7)))</f>
        <v/>
      </c>
      <c r="W6" s="15">
        <f>IF(Mask!W6=1,0,IF(p_reset=1,p_U*$A6,0.25*(X6+V6+W5+W7)))</f>
        <v/>
      </c>
      <c r="X6" s="15">
        <f>IF(Mask!X6=1,0,IF(p_reset=1,p_U*$A6,0.25*(Y6+W6+X5+X7)))</f>
        <v/>
      </c>
      <c r="Y6" s="15">
        <f>IF(Mask!Y6=1,0,IF(p_reset=1,p_U*$A6,0.25*(Z6+X6+Y5+Y7)))</f>
        <v/>
      </c>
      <c r="Z6" s="15">
        <f>IF(Mask!Z6=1,0,IF(p_reset=1,p_U*$A6,0.25*(AA6+Y6+Z5+Z7)))</f>
        <v/>
      </c>
      <c r="AA6" s="15">
        <f>IF(Mask!AA6=1,0,IF(p_reset=1,p_U*$A6,0.25*(AB6+Z6+AA5+AA7)))</f>
        <v/>
      </c>
      <c r="AB6" s="15">
        <f>IF(Mask!AB6=1,0,IF(p_reset=1,p_U*$A6,0.25*(AC6+AA6+AB5+AB7)))</f>
        <v/>
      </c>
      <c r="AC6" s="15">
        <f>IF(Mask!AC6=1,0,IF(p_reset=1,p_U*$A6,0.25*(AD6+AB6+AC5+AC7)))</f>
        <v/>
      </c>
      <c r="AD6" s="15">
        <f>IF(Mask!AD6=1,0,IF(p_reset=1,p_U*$A6,0.25*(AE6+AC6+AD5+AD7)))</f>
        <v/>
      </c>
      <c r="AE6" s="15">
        <f>IF(Mask!AE6=1,0,IF(p_reset=1,p_U*$A6,0.25*(AF6+AD6+AE5+AE7)))</f>
        <v/>
      </c>
      <c r="AF6" s="15">
        <f>IF(Mask!AF6=1,0,IF(p_reset=1,p_U*$A6,0.25*(AG6+AE6+AF5+AF7)))</f>
        <v/>
      </c>
      <c r="AG6" s="15">
        <f>IF(Mask!AG6=1,0,IF(p_reset=1,p_U*$A6,0.25*(AH6+AF6+AG5+AG7)))</f>
        <v/>
      </c>
      <c r="AH6" s="15">
        <f>IF(Mask!AH6=1,0,IF(p_reset=1,p_U*$A6,0.25*(AI6+AG6+AH5+AH7)))</f>
        <v/>
      </c>
      <c r="AI6" s="15">
        <f>IF(Mask!AI6=1,0,IF(p_reset=1,p_U*$A6,0.25*(AJ6+AH6+AI5+AI7)))</f>
        <v/>
      </c>
      <c r="AJ6" s="15">
        <f>IF(Mask!AJ6=1,0,IF(p_reset=1,p_U*$A6,0.25*(AK6+AI6+AJ5+AJ7)))</f>
        <v/>
      </c>
      <c r="AK6" s="15">
        <f>IF(Mask!AK6=1,0,IF(p_reset=1,p_U*$A6,0.25*(AL6+AJ6+AK5+AK7)))</f>
        <v/>
      </c>
      <c r="AL6" s="15">
        <f>IF(Mask!AL6=1,0,IF(p_reset=1,p_U*$A6,0.25*(AM6+AK6+AL5+AL7)))</f>
        <v/>
      </c>
      <c r="AM6" s="15">
        <f>IF(Mask!AM6=1,0,IF(p_reset=1,p_U*$A6,0.25*(AN6+AL6+AM5+AM7)))</f>
        <v/>
      </c>
      <c r="AN6" s="15">
        <f>IF(Mask!AN6=1,0,IF(p_reset=1,p_U*$A6,0.25*(AO6+AM6+AN5+AN7)))</f>
        <v/>
      </c>
      <c r="AO6" s="15">
        <f>IF(Mask!AO6=1,0,IF(p_reset=1,p_U*$A6,0.25*(AP6+AN6+AO5+AO7)))</f>
        <v/>
      </c>
      <c r="AP6" s="15">
        <f>IF(p_reset=1,p_U*$A6,AO6)</f>
        <v/>
      </c>
    </row>
    <row r="7">
      <c r="A7" s="7">
        <f>A6-p_h</f>
        <v/>
      </c>
      <c r="B7" s="15">
        <f>p_U*$A7</f>
        <v/>
      </c>
      <c r="C7" s="15">
        <f>IF(Mask!C7=1,0,IF(p_reset=1,p_U*$A7,0.25*(D7+B7+C6+C8)))</f>
        <v/>
      </c>
      <c r="D7" s="15">
        <f>IF(Mask!D7=1,0,IF(p_reset=1,p_U*$A7,0.25*(E7+C7+D6+D8)))</f>
        <v/>
      </c>
      <c r="E7" s="15">
        <f>IF(Mask!E7=1,0,IF(p_reset=1,p_U*$A7,0.25*(F7+D7+E6+E8)))</f>
        <v/>
      </c>
      <c r="F7" s="15">
        <f>IF(Mask!F7=1,0,IF(p_reset=1,p_U*$A7,0.25*(G7+E7+F6+F8)))</f>
        <v/>
      </c>
      <c r="G7" s="15">
        <f>IF(Mask!G7=1,0,IF(p_reset=1,p_U*$A7,0.25*(H7+F7+G6+G8)))</f>
        <v/>
      </c>
      <c r="H7" s="15">
        <f>IF(Mask!H7=1,0,IF(p_reset=1,p_U*$A7,0.25*(I7+G7+H6+H8)))</f>
        <v/>
      </c>
      <c r="I7" s="15">
        <f>IF(Mask!I7=1,0,IF(p_reset=1,p_U*$A7,0.25*(J7+H7+I6+I8)))</f>
        <v/>
      </c>
      <c r="J7" s="15">
        <f>IF(Mask!J7=1,0,IF(p_reset=1,p_U*$A7,0.25*(K7+I7+J6+J8)))</f>
        <v/>
      </c>
      <c r="K7" s="15">
        <f>IF(Mask!K7=1,0,IF(p_reset=1,p_U*$A7,0.25*(L7+J7+K6+K8)))</f>
        <v/>
      </c>
      <c r="L7" s="15">
        <f>IF(Mask!L7=1,0,IF(p_reset=1,p_U*$A7,0.25*(M7+K7+L6+L8)))</f>
        <v/>
      </c>
      <c r="M7" s="15">
        <f>IF(Mask!M7=1,0,IF(p_reset=1,p_U*$A7,0.25*(N7+L7+M6+M8)))</f>
        <v/>
      </c>
      <c r="N7" s="15">
        <f>IF(Mask!N7=1,0,IF(p_reset=1,p_U*$A7,0.25*(O7+M7+N6+N8)))</f>
        <v/>
      </c>
      <c r="O7" s="15">
        <f>IF(Mask!O7=1,0,IF(p_reset=1,p_U*$A7,0.25*(P7+N7+O6+O8)))</f>
        <v/>
      </c>
      <c r="P7" s="15">
        <f>IF(Mask!P7=1,0,IF(p_reset=1,p_U*$A7,0.25*(Q7+O7+P6+P8)))</f>
        <v/>
      </c>
      <c r="Q7" s="15">
        <f>IF(Mask!Q7=1,0,IF(p_reset=1,p_U*$A7,0.25*(R7+P7+Q6+Q8)))</f>
        <v/>
      </c>
      <c r="R7" s="15">
        <f>IF(Mask!R7=1,0,IF(p_reset=1,p_U*$A7,0.25*(S7+Q7+R6+R8)))</f>
        <v/>
      </c>
      <c r="S7" s="15">
        <f>IF(Mask!S7=1,0,IF(p_reset=1,p_U*$A7,0.25*(T7+R7+S6+S8)))</f>
        <v/>
      </c>
      <c r="T7" s="15">
        <f>IF(Mask!T7=1,0,IF(p_reset=1,p_U*$A7,0.25*(U7+S7+T6+T8)))</f>
        <v/>
      </c>
      <c r="U7" s="15">
        <f>IF(Mask!U7=1,0,IF(p_reset=1,p_U*$A7,0.25*(V7+T7+U6+U8)))</f>
        <v/>
      </c>
      <c r="V7" s="15">
        <f>IF(Mask!V7=1,0,IF(p_reset=1,p_U*$A7,0.25*(W7+U7+V6+V8)))</f>
        <v/>
      </c>
      <c r="W7" s="15">
        <f>IF(Mask!W7=1,0,IF(p_reset=1,p_U*$A7,0.25*(X7+V7+W6+W8)))</f>
        <v/>
      </c>
      <c r="X7" s="15">
        <f>IF(Mask!X7=1,0,IF(p_reset=1,p_U*$A7,0.25*(Y7+W7+X6+X8)))</f>
        <v/>
      </c>
      <c r="Y7" s="15">
        <f>IF(Mask!Y7=1,0,IF(p_reset=1,p_U*$A7,0.25*(Z7+X7+Y6+Y8)))</f>
        <v/>
      </c>
      <c r="Z7" s="15">
        <f>IF(Mask!Z7=1,0,IF(p_reset=1,p_U*$A7,0.25*(AA7+Y7+Z6+Z8)))</f>
        <v/>
      </c>
      <c r="AA7" s="15">
        <f>IF(Mask!AA7=1,0,IF(p_reset=1,p_U*$A7,0.25*(AB7+Z7+AA6+AA8)))</f>
        <v/>
      </c>
      <c r="AB7" s="15">
        <f>IF(Mask!AB7=1,0,IF(p_reset=1,p_U*$A7,0.25*(AC7+AA7+AB6+AB8)))</f>
        <v/>
      </c>
      <c r="AC7" s="15">
        <f>IF(Mask!AC7=1,0,IF(p_reset=1,p_U*$A7,0.25*(AD7+AB7+AC6+AC8)))</f>
        <v/>
      </c>
      <c r="AD7" s="15">
        <f>IF(Mask!AD7=1,0,IF(p_reset=1,p_U*$A7,0.25*(AE7+AC7+AD6+AD8)))</f>
        <v/>
      </c>
      <c r="AE7" s="15">
        <f>IF(Mask!AE7=1,0,IF(p_reset=1,p_U*$A7,0.25*(AF7+AD7+AE6+AE8)))</f>
        <v/>
      </c>
      <c r="AF7" s="15">
        <f>IF(Mask!AF7=1,0,IF(p_reset=1,p_U*$A7,0.25*(AG7+AE7+AF6+AF8)))</f>
        <v/>
      </c>
      <c r="AG7" s="15">
        <f>IF(Mask!AG7=1,0,IF(p_reset=1,p_U*$A7,0.25*(AH7+AF7+AG6+AG8)))</f>
        <v/>
      </c>
      <c r="AH7" s="15">
        <f>IF(Mask!AH7=1,0,IF(p_reset=1,p_U*$A7,0.25*(AI7+AG7+AH6+AH8)))</f>
        <v/>
      </c>
      <c r="AI7" s="15">
        <f>IF(Mask!AI7=1,0,IF(p_reset=1,p_U*$A7,0.25*(AJ7+AH7+AI6+AI8)))</f>
        <v/>
      </c>
      <c r="AJ7" s="15">
        <f>IF(Mask!AJ7=1,0,IF(p_reset=1,p_U*$A7,0.25*(AK7+AI7+AJ6+AJ8)))</f>
        <v/>
      </c>
      <c r="AK7" s="15">
        <f>IF(Mask!AK7=1,0,IF(p_reset=1,p_U*$A7,0.25*(AL7+AJ7+AK6+AK8)))</f>
        <v/>
      </c>
      <c r="AL7" s="15">
        <f>IF(Mask!AL7=1,0,IF(p_reset=1,p_U*$A7,0.25*(AM7+AK7+AL6+AL8)))</f>
        <v/>
      </c>
      <c r="AM7" s="15">
        <f>IF(Mask!AM7=1,0,IF(p_reset=1,p_U*$A7,0.25*(AN7+AL7+AM6+AM8)))</f>
        <v/>
      </c>
      <c r="AN7" s="15">
        <f>IF(Mask!AN7=1,0,IF(p_reset=1,p_U*$A7,0.25*(AO7+AM7+AN6+AN8)))</f>
        <v/>
      </c>
      <c r="AO7" s="15">
        <f>IF(Mask!AO7=1,0,IF(p_reset=1,p_U*$A7,0.25*(AP7+AN7+AO6+AO8)))</f>
        <v/>
      </c>
      <c r="AP7" s="15">
        <f>IF(p_reset=1,p_U*$A7,AO7)</f>
        <v/>
      </c>
    </row>
    <row r="8">
      <c r="A8" s="7">
        <f>A7-p_h</f>
        <v/>
      </c>
      <c r="B8" s="15">
        <f>p_U*$A8</f>
        <v/>
      </c>
      <c r="C8" s="15">
        <f>IF(Mask!C8=1,0,IF(p_reset=1,p_U*$A8,0.25*(D8+B8+C7+C9)))</f>
        <v/>
      </c>
      <c r="D8" s="15">
        <f>IF(Mask!D8=1,0,IF(p_reset=1,p_U*$A8,0.25*(E8+C8+D7+D9)))</f>
        <v/>
      </c>
      <c r="E8" s="15">
        <f>IF(Mask!E8=1,0,IF(p_reset=1,p_U*$A8,0.25*(F8+D8+E7+E9)))</f>
        <v/>
      </c>
      <c r="F8" s="15">
        <f>IF(Mask!F8=1,0,IF(p_reset=1,p_U*$A8,0.25*(G8+E8+F7+F9)))</f>
        <v/>
      </c>
      <c r="G8" s="15">
        <f>IF(Mask!G8=1,0,IF(p_reset=1,p_U*$A8,0.25*(H8+F8+G7+G9)))</f>
        <v/>
      </c>
      <c r="H8" s="15">
        <f>IF(Mask!H8=1,0,IF(p_reset=1,p_U*$A8,0.25*(I8+G8+H7+H9)))</f>
        <v/>
      </c>
      <c r="I8" s="15">
        <f>IF(Mask!I8=1,0,IF(p_reset=1,p_U*$A8,0.25*(J8+H8+I7+I9)))</f>
        <v/>
      </c>
      <c r="J8" s="15">
        <f>IF(Mask!J8=1,0,IF(p_reset=1,p_U*$A8,0.25*(K8+I8+J7+J9)))</f>
        <v/>
      </c>
      <c r="K8" s="15">
        <f>IF(Mask!K8=1,0,IF(p_reset=1,p_U*$A8,0.25*(L8+J8+K7+K9)))</f>
        <v/>
      </c>
      <c r="L8" s="15">
        <f>IF(Mask!L8=1,0,IF(p_reset=1,p_U*$A8,0.25*(M8+K8+L7+L9)))</f>
        <v/>
      </c>
      <c r="M8" s="15">
        <f>IF(Mask!M8=1,0,IF(p_reset=1,p_U*$A8,0.25*(N8+L8+M7+M9)))</f>
        <v/>
      </c>
      <c r="N8" s="15">
        <f>IF(Mask!N8=1,0,IF(p_reset=1,p_U*$A8,0.25*(O8+M8+N7+N9)))</f>
        <v/>
      </c>
      <c r="O8" s="15">
        <f>IF(Mask!O8=1,0,IF(p_reset=1,p_U*$A8,0.25*(P8+N8+O7+O9)))</f>
        <v/>
      </c>
      <c r="P8" s="15">
        <f>IF(Mask!P8=1,0,IF(p_reset=1,p_U*$A8,0.25*(Q8+O8+P7+P9)))</f>
        <v/>
      </c>
      <c r="Q8" s="15">
        <f>IF(Mask!Q8=1,0,IF(p_reset=1,p_U*$A8,0.25*(R8+P8+Q7+Q9)))</f>
        <v/>
      </c>
      <c r="R8" s="15">
        <f>IF(Mask!R8=1,0,IF(p_reset=1,p_U*$A8,0.25*(S8+Q8+R7+R9)))</f>
        <v/>
      </c>
      <c r="S8" s="15">
        <f>IF(Mask!S8=1,0,IF(p_reset=1,p_U*$A8,0.25*(T8+R8+S7+S9)))</f>
        <v/>
      </c>
      <c r="T8" s="15">
        <f>IF(Mask!T8=1,0,IF(p_reset=1,p_U*$A8,0.25*(U8+S8+T7+T9)))</f>
        <v/>
      </c>
      <c r="U8" s="15">
        <f>IF(Mask!U8=1,0,IF(p_reset=1,p_U*$A8,0.25*(V8+T8+U7+U9)))</f>
        <v/>
      </c>
      <c r="V8" s="15">
        <f>IF(Mask!V8=1,0,IF(p_reset=1,p_U*$A8,0.25*(W8+U8+V7+V9)))</f>
        <v/>
      </c>
      <c r="W8" s="15">
        <f>IF(Mask!W8=1,0,IF(p_reset=1,p_U*$A8,0.25*(X8+V8+W7+W9)))</f>
        <v/>
      </c>
      <c r="X8" s="15">
        <f>IF(Mask!X8=1,0,IF(p_reset=1,p_U*$A8,0.25*(Y8+W8+X7+X9)))</f>
        <v/>
      </c>
      <c r="Y8" s="15">
        <f>IF(Mask!Y8=1,0,IF(p_reset=1,p_U*$A8,0.25*(Z8+X8+Y7+Y9)))</f>
        <v/>
      </c>
      <c r="Z8" s="15">
        <f>IF(Mask!Z8=1,0,IF(p_reset=1,p_U*$A8,0.25*(AA8+Y8+Z7+Z9)))</f>
        <v/>
      </c>
      <c r="AA8" s="15">
        <f>IF(Mask!AA8=1,0,IF(p_reset=1,p_U*$A8,0.25*(AB8+Z8+AA7+AA9)))</f>
        <v/>
      </c>
      <c r="AB8" s="15">
        <f>IF(Mask!AB8=1,0,IF(p_reset=1,p_U*$A8,0.25*(AC8+AA8+AB7+AB9)))</f>
        <v/>
      </c>
      <c r="AC8" s="15">
        <f>IF(Mask!AC8=1,0,IF(p_reset=1,p_U*$A8,0.25*(AD8+AB8+AC7+AC9)))</f>
        <v/>
      </c>
      <c r="AD8" s="15">
        <f>IF(Mask!AD8=1,0,IF(p_reset=1,p_U*$A8,0.25*(AE8+AC8+AD7+AD9)))</f>
        <v/>
      </c>
      <c r="AE8" s="15">
        <f>IF(Mask!AE8=1,0,IF(p_reset=1,p_U*$A8,0.25*(AF8+AD8+AE7+AE9)))</f>
        <v/>
      </c>
      <c r="AF8" s="15">
        <f>IF(Mask!AF8=1,0,IF(p_reset=1,p_U*$A8,0.25*(AG8+AE8+AF7+AF9)))</f>
        <v/>
      </c>
      <c r="AG8" s="15">
        <f>IF(Mask!AG8=1,0,IF(p_reset=1,p_U*$A8,0.25*(AH8+AF8+AG7+AG9)))</f>
        <v/>
      </c>
      <c r="AH8" s="15">
        <f>IF(Mask!AH8=1,0,IF(p_reset=1,p_U*$A8,0.25*(AI8+AG8+AH7+AH9)))</f>
        <v/>
      </c>
      <c r="AI8" s="15">
        <f>IF(Mask!AI8=1,0,IF(p_reset=1,p_U*$A8,0.25*(AJ8+AH8+AI7+AI9)))</f>
        <v/>
      </c>
      <c r="AJ8" s="15">
        <f>IF(Mask!AJ8=1,0,IF(p_reset=1,p_U*$A8,0.25*(AK8+AI8+AJ7+AJ9)))</f>
        <v/>
      </c>
      <c r="AK8" s="15">
        <f>IF(Mask!AK8=1,0,IF(p_reset=1,p_U*$A8,0.25*(AL8+AJ8+AK7+AK9)))</f>
        <v/>
      </c>
      <c r="AL8" s="15">
        <f>IF(Mask!AL8=1,0,IF(p_reset=1,p_U*$A8,0.25*(AM8+AK8+AL7+AL9)))</f>
        <v/>
      </c>
      <c r="AM8" s="15">
        <f>IF(Mask!AM8=1,0,IF(p_reset=1,p_U*$A8,0.25*(AN8+AL8+AM7+AM9)))</f>
        <v/>
      </c>
      <c r="AN8" s="15">
        <f>IF(Mask!AN8=1,0,IF(p_reset=1,p_U*$A8,0.25*(AO8+AM8+AN7+AN9)))</f>
        <v/>
      </c>
      <c r="AO8" s="15">
        <f>IF(Mask!AO8=1,0,IF(p_reset=1,p_U*$A8,0.25*(AP8+AN8+AO7+AO9)))</f>
        <v/>
      </c>
      <c r="AP8" s="15">
        <f>IF(p_reset=1,p_U*$A8,AO8)</f>
        <v/>
      </c>
    </row>
    <row r="9">
      <c r="A9" s="7">
        <f>A8-p_h</f>
        <v/>
      </c>
      <c r="B9" s="15">
        <f>p_U*$A9</f>
        <v/>
      </c>
      <c r="C9" s="15">
        <f>IF(Mask!C9=1,0,IF(p_reset=1,p_U*$A9,0.25*(D9+B9+C8+C10)))</f>
        <v/>
      </c>
      <c r="D9" s="15">
        <f>IF(Mask!D9=1,0,IF(p_reset=1,p_U*$A9,0.25*(E9+C9+D8+D10)))</f>
        <v/>
      </c>
      <c r="E9" s="15">
        <f>IF(Mask!E9=1,0,IF(p_reset=1,p_U*$A9,0.25*(F9+D9+E8+E10)))</f>
        <v/>
      </c>
      <c r="F9" s="15">
        <f>IF(Mask!F9=1,0,IF(p_reset=1,p_U*$A9,0.25*(G9+E9+F8+F10)))</f>
        <v/>
      </c>
      <c r="G9" s="15">
        <f>IF(Mask!G9=1,0,IF(p_reset=1,p_U*$A9,0.25*(H9+F9+G8+G10)))</f>
        <v/>
      </c>
      <c r="H9" s="15">
        <f>IF(Mask!H9=1,0,IF(p_reset=1,p_U*$A9,0.25*(I9+G9+H8+H10)))</f>
        <v/>
      </c>
      <c r="I9" s="15">
        <f>IF(Mask!I9=1,0,IF(p_reset=1,p_U*$A9,0.25*(J9+H9+I8+I10)))</f>
        <v/>
      </c>
      <c r="J9" s="15">
        <f>IF(Mask!J9=1,0,IF(p_reset=1,p_U*$A9,0.25*(K9+I9+J8+J10)))</f>
        <v/>
      </c>
      <c r="K9" s="15">
        <f>IF(Mask!K9=1,0,IF(p_reset=1,p_U*$A9,0.25*(L9+J9+K8+K10)))</f>
        <v/>
      </c>
      <c r="L9" s="15">
        <f>IF(Mask!L9=1,0,IF(p_reset=1,p_U*$A9,0.25*(M9+K9+L8+L10)))</f>
        <v/>
      </c>
      <c r="M9" s="15">
        <f>IF(Mask!M9=1,0,IF(p_reset=1,p_U*$A9,0.25*(N9+L9+M8+M10)))</f>
        <v/>
      </c>
      <c r="N9" s="15">
        <f>IF(Mask!N9=1,0,IF(p_reset=1,p_U*$A9,0.25*(O9+M9+N8+N10)))</f>
        <v/>
      </c>
      <c r="O9" s="15">
        <f>IF(Mask!O9=1,0,IF(p_reset=1,p_U*$A9,0.25*(P9+N9+O8+O10)))</f>
        <v/>
      </c>
      <c r="P9" s="15">
        <f>IF(Mask!P9=1,0,IF(p_reset=1,p_U*$A9,0.25*(Q9+O9+P8+P10)))</f>
        <v/>
      </c>
      <c r="Q9" s="15">
        <f>IF(Mask!Q9=1,0,IF(p_reset=1,p_U*$A9,0.25*(R9+P9+Q8+Q10)))</f>
        <v/>
      </c>
      <c r="R9" s="15">
        <f>IF(Mask!R9=1,0,IF(p_reset=1,p_U*$A9,0.25*(S9+Q9+R8+R10)))</f>
        <v/>
      </c>
      <c r="S9" s="15">
        <f>IF(Mask!S9=1,0,IF(p_reset=1,p_U*$A9,0.25*(T9+R9+S8+S10)))</f>
        <v/>
      </c>
      <c r="T9" s="15">
        <f>IF(Mask!T9=1,0,IF(p_reset=1,p_U*$A9,0.25*(U9+S9+T8+T10)))</f>
        <v/>
      </c>
      <c r="U9" s="15">
        <f>IF(Mask!U9=1,0,IF(p_reset=1,p_U*$A9,0.25*(V9+T9+U8+U10)))</f>
        <v/>
      </c>
      <c r="V9" s="15">
        <f>IF(Mask!V9=1,0,IF(p_reset=1,p_U*$A9,0.25*(W9+U9+V8+V10)))</f>
        <v/>
      </c>
      <c r="W9" s="15">
        <f>IF(Mask!W9=1,0,IF(p_reset=1,p_U*$A9,0.25*(X9+V9+W8+W10)))</f>
        <v/>
      </c>
      <c r="X9" s="15">
        <f>IF(Mask!X9=1,0,IF(p_reset=1,p_U*$A9,0.25*(Y9+W9+X8+X10)))</f>
        <v/>
      </c>
      <c r="Y9" s="15">
        <f>IF(Mask!Y9=1,0,IF(p_reset=1,p_U*$A9,0.25*(Z9+X9+Y8+Y10)))</f>
        <v/>
      </c>
      <c r="Z9" s="15">
        <f>IF(Mask!Z9=1,0,IF(p_reset=1,p_U*$A9,0.25*(AA9+Y9+Z8+Z10)))</f>
        <v/>
      </c>
      <c r="AA9" s="15">
        <f>IF(Mask!AA9=1,0,IF(p_reset=1,p_U*$A9,0.25*(AB9+Z9+AA8+AA10)))</f>
        <v/>
      </c>
      <c r="AB9" s="15">
        <f>IF(Mask!AB9=1,0,IF(p_reset=1,p_U*$A9,0.25*(AC9+AA9+AB8+AB10)))</f>
        <v/>
      </c>
      <c r="AC9" s="15">
        <f>IF(Mask!AC9=1,0,IF(p_reset=1,p_U*$A9,0.25*(AD9+AB9+AC8+AC10)))</f>
        <v/>
      </c>
      <c r="AD9" s="15">
        <f>IF(Mask!AD9=1,0,IF(p_reset=1,p_U*$A9,0.25*(AE9+AC9+AD8+AD10)))</f>
        <v/>
      </c>
      <c r="AE9" s="15">
        <f>IF(Mask!AE9=1,0,IF(p_reset=1,p_U*$A9,0.25*(AF9+AD9+AE8+AE10)))</f>
        <v/>
      </c>
      <c r="AF9" s="15">
        <f>IF(Mask!AF9=1,0,IF(p_reset=1,p_U*$A9,0.25*(AG9+AE9+AF8+AF10)))</f>
        <v/>
      </c>
      <c r="AG9" s="15">
        <f>IF(Mask!AG9=1,0,IF(p_reset=1,p_U*$A9,0.25*(AH9+AF9+AG8+AG10)))</f>
        <v/>
      </c>
      <c r="AH9" s="15">
        <f>IF(Mask!AH9=1,0,IF(p_reset=1,p_U*$A9,0.25*(AI9+AG9+AH8+AH10)))</f>
        <v/>
      </c>
      <c r="AI9" s="15">
        <f>IF(Mask!AI9=1,0,IF(p_reset=1,p_U*$A9,0.25*(AJ9+AH9+AI8+AI10)))</f>
        <v/>
      </c>
      <c r="AJ9" s="15">
        <f>IF(Mask!AJ9=1,0,IF(p_reset=1,p_U*$A9,0.25*(AK9+AI9+AJ8+AJ10)))</f>
        <v/>
      </c>
      <c r="AK9" s="15">
        <f>IF(Mask!AK9=1,0,IF(p_reset=1,p_U*$A9,0.25*(AL9+AJ9+AK8+AK10)))</f>
        <v/>
      </c>
      <c r="AL9" s="15">
        <f>IF(Mask!AL9=1,0,IF(p_reset=1,p_U*$A9,0.25*(AM9+AK9+AL8+AL10)))</f>
        <v/>
      </c>
      <c r="AM9" s="15">
        <f>IF(Mask!AM9=1,0,IF(p_reset=1,p_U*$A9,0.25*(AN9+AL9+AM8+AM10)))</f>
        <v/>
      </c>
      <c r="AN9" s="15">
        <f>IF(Mask!AN9=1,0,IF(p_reset=1,p_U*$A9,0.25*(AO9+AM9+AN8+AN10)))</f>
        <v/>
      </c>
      <c r="AO9" s="15">
        <f>IF(Mask!AO9=1,0,IF(p_reset=1,p_U*$A9,0.25*(AP9+AN9+AO8+AO10)))</f>
        <v/>
      </c>
      <c r="AP9" s="15">
        <f>IF(p_reset=1,p_U*$A9,AO9)</f>
        <v/>
      </c>
    </row>
    <row r="10">
      <c r="A10" s="7">
        <f>A9-p_h</f>
        <v/>
      </c>
      <c r="B10" s="15">
        <f>p_U*$A10</f>
        <v/>
      </c>
      <c r="C10" s="15">
        <f>IF(Mask!C10=1,0,IF(p_reset=1,p_U*$A10,0.25*(D10+B10+C9+C11)))</f>
        <v/>
      </c>
      <c r="D10" s="15">
        <f>IF(Mask!D10=1,0,IF(p_reset=1,p_U*$A10,0.25*(E10+C10+D9+D11)))</f>
        <v/>
      </c>
      <c r="E10" s="15">
        <f>IF(Mask!E10=1,0,IF(p_reset=1,p_U*$A10,0.25*(F10+D10+E9+E11)))</f>
        <v/>
      </c>
      <c r="F10" s="15">
        <f>IF(Mask!F10=1,0,IF(p_reset=1,p_U*$A10,0.25*(G10+E10+F9+F11)))</f>
        <v/>
      </c>
      <c r="G10" s="15">
        <f>IF(Mask!G10=1,0,IF(p_reset=1,p_U*$A10,0.25*(H10+F10+G9+G11)))</f>
        <v/>
      </c>
      <c r="H10" s="15">
        <f>IF(Mask!H10=1,0,IF(p_reset=1,p_U*$A10,0.25*(I10+G10+H9+H11)))</f>
        <v/>
      </c>
      <c r="I10" s="15">
        <f>IF(Mask!I10=1,0,IF(p_reset=1,p_U*$A10,0.25*(J10+H10+I9+I11)))</f>
        <v/>
      </c>
      <c r="J10" s="15">
        <f>IF(Mask!J10=1,0,IF(p_reset=1,p_U*$A10,0.25*(K10+I10+J9+J11)))</f>
        <v/>
      </c>
      <c r="K10" s="15">
        <f>IF(Mask!K10=1,0,IF(p_reset=1,p_U*$A10,0.25*(L10+J10+K9+K11)))</f>
        <v/>
      </c>
      <c r="L10" s="15">
        <f>IF(Mask!L10=1,0,IF(p_reset=1,p_U*$A10,0.25*(M10+K10+L9+L11)))</f>
        <v/>
      </c>
      <c r="M10" s="15">
        <f>IF(Mask!M10=1,0,IF(p_reset=1,p_U*$A10,0.25*(N10+L10+M9+M11)))</f>
        <v/>
      </c>
      <c r="N10" s="15">
        <f>IF(Mask!N10=1,0,IF(p_reset=1,p_U*$A10,0.25*(O10+M10+N9+N11)))</f>
        <v/>
      </c>
      <c r="O10" s="15">
        <f>IF(Mask!O10=1,0,IF(p_reset=1,p_U*$A10,0.25*(P10+N10+O9+O11)))</f>
        <v/>
      </c>
      <c r="P10" s="15">
        <f>IF(Mask!P10=1,0,IF(p_reset=1,p_U*$A10,0.25*(Q10+O10+P9+P11)))</f>
        <v/>
      </c>
      <c r="Q10" s="15">
        <f>IF(Mask!Q10=1,0,IF(p_reset=1,p_U*$A10,0.25*(R10+P10+Q9+Q11)))</f>
        <v/>
      </c>
      <c r="R10" s="15">
        <f>IF(Mask!R10=1,0,IF(p_reset=1,p_U*$A10,0.25*(S10+Q10+R9+R11)))</f>
        <v/>
      </c>
      <c r="S10" s="15">
        <f>IF(Mask!S10=1,0,IF(p_reset=1,p_U*$A10,0.25*(T10+R10+S9+S11)))</f>
        <v/>
      </c>
      <c r="T10" s="15">
        <f>IF(Mask!T10=1,0,IF(p_reset=1,p_U*$A10,0.25*(U10+S10+T9+T11)))</f>
        <v/>
      </c>
      <c r="U10" s="15">
        <f>IF(Mask!U10=1,0,IF(p_reset=1,p_U*$A10,0.25*(V10+T10+U9+U11)))</f>
        <v/>
      </c>
      <c r="V10" s="15">
        <f>IF(Mask!V10=1,0,IF(p_reset=1,p_U*$A10,0.25*(W10+U10+V9+V11)))</f>
        <v/>
      </c>
      <c r="W10" s="15">
        <f>IF(Mask!W10=1,0,IF(p_reset=1,p_U*$A10,0.25*(X10+V10+W9+W11)))</f>
        <v/>
      </c>
      <c r="X10" s="15">
        <f>IF(Mask!X10=1,0,IF(p_reset=1,p_U*$A10,0.25*(Y10+W10+X9+X11)))</f>
        <v/>
      </c>
      <c r="Y10" s="15">
        <f>IF(Mask!Y10=1,0,IF(p_reset=1,p_U*$A10,0.25*(Z10+X10+Y9+Y11)))</f>
        <v/>
      </c>
      <c r="Z10" s="15">
        <f>IF(Mask!Z10=1,0,IF(p_reset=1,p_U*$A10,0.25*(AA10+Y10+Z9+Z11)))</f>
        <v/>
      </c>
      <c r="AA10" s="15">
        <f>IF(Mask!AA10=1,0,IF(p_reset=1,p_U*$A10,0.25*(AB10+Z10+AA9+AA11)))</f>
        <v/>
      </c>
      <c r="AB10" s="15">
        <f>IF(Mask!AB10=1,0,IF(p_reset=1,p_U*$A10,0.25*(AC10+AA10+AB9+AB11)))</f>
        <v/>
      </c>
      <c r="AC10" s="15">
        <f>IF(Mask!AC10=1,0,IF(p_reset=1,p_U*$A10,0.25*(AD10+AB10+AC9+AC11)))</f>
        <v/>
      </c>
      <c r="AD10" s="15">
        <f>IF(Mask!AD10=1,0,IF(p_reset=1,p_U*$A10,0.25*(AE10+AC10+AD9+AD11)))</f>
        <v/>
      </c>
      <c r="AE10" s="15">
        <f>IF(Mask!AE10=1,0,IF(p_reset=1,p_U*$A10,0.25*(AF10+AD10+AE9+AE11)))</f>
        <v/>
      </c>
      <c r="AF10" s="15">
        <f>IF(Mask!AF10=1,0,IF(p_reset=1,p_U*$A10,0.25*(AG10+AE10+AF9+AF11)))</f>
        <v/>
      </c>
      <c r="AG10" s="15">
        <f>IF(Mask!AG10=1,0,IF(p_reset=1,p_U*$A10,0.25*(AH10+AF10+AG9+AG11)))</f>
        <v/>
      </c>
      <c r="AH10" s="15">
        <f>IF(Mask!AH10=1,0,IF(p_reset=1,p_U*$A10,0.25*(AI10+AG10+AH9+AH11)))</f>
        <v/>
      </c>
      <c r="AI10" s="15">
        <f>IF(Mask!AI10=1,0,IF(p_reset=1,p_U*$A10,0.25*(AJ10+AH10+AI9+AI11)))</f>
        <v/>
      </c>
      <c r="AJ10" s="15">
        <f>IF(Mask!AJ10=1,0,IF(p_reset=1,p_U*$A10,0.25*(AK10+AI10+AJ9+AJ11)))</f>
        <v/>
      </c>
      <c r="AK10" s="15">
        <f>IF(Mask!AK10=1,0,IF(p_reset=1,p_U*$A10,0.25*(AL10+AJ10+AK9+AK11)))</f>
        <v/>
      </c>
      <c r="AL10" s="15">
        <f>IF(Mask!AL10=1,0,IF(p_reset=1,p_U*$A10,0.25*(AM10+AK10+AL9+AL11)))</f>
        <v/>
      </c>
      <c r="AM10" s="15">
        <f>IF(Mask!AM10=1,0,IF(p_reset=1,p_U*$A10,0.25*(AN10+AL10+AM9+AM11)))</f>
        <v/>
      </c>
      <c r="AN10" s="15">
        <f>IF(Mask!AN10=1,0,IF(p_reset=1,p_U*$A10,0.25*(AO10+AM10+AN9+AN11)))</f>
        <v/>
      </c>
      <c r="AO10" s="15">
        <f>IF(Mask!AO10=1,0,IF(p_reset=1,p_U*$A10,0.25*(AP10+AN10+AO9+AO11)))</f>
        <v/>
      </c>
      <c r="AP10" s="15">
        <f>IF(p_reset=1,p_U*$A10,AO10)</f>
        <v/>
      </c>
    </row>
    <row r="11">
      <c r="A11" s="7">
        <f>A10-p_h</f>
        <v/>
      </c>
      <c r="B11" s="15">
        <f>p_U*$A11</f>
        <v/>
      </c>
      <c r="C11" s="15">
        <f>IF(Mask!C11=1,0,IF(p_reset=1,p_U*$A11,0.25*(D11+B11+C10+C12)))</f>
        <v/>
      </c>
      <c r="D11" s="15">
        <f>IF(Mask!D11=1,0,IF(p_reset=1,p_U*$A11,0.25*(E11+C11+D10+D12)))</f>
        <v/>
      </c>
      <c r="E11" s="15">
        <f>IF(Mask!E11=1,0,IF(p_reset=1,p_U*$A11,0.25*(F11+D11+E10+E12)))</f>
        <v/>
      </c>
      <c r="F11" s="15">
        <f>IF(Mask!F11=1,0,IF(p_reset=1,p_U*$A11,0.25*(G11+E11+F10+F12)))</f>
        <v/>
      </c>
      <c r="G11" s="15">
        <f>IF(Mask!G11=1,0,IF(p_reset=1,p_U*$A11,0.25*(H11+F11+G10+G12)))</f>
        <v/>
      </c>
      <c r="H11" s="15">
        <f>IF(Mask!H11=1,0,IF(p_reset=1,p_U*$A11,0.25*(I11+G11+H10+H12)))</f>
        <v/>
      </c>
      <c r="I11" s="15">
        <f>IF(Mask!I11=1,0,IF(p_reset=1,p_U*$A11,0.25*(J11+H11+I10+I12)))</f>
        <v/>
      </c>
      <c r="J11" s="15">
        <f>IF(Mask!J11=1,0,IF(p_reset=1,p_U*$A11,0.25*(K11+I11+J10+J12)))</f>
        <v/>
      </c>
      <c r="K11" s="15">
        <f>IF(Mask!K11=1,0,IF(p_reset=1,p_U*$A11,0.25*(L11+J11+K10+K12)))</f>
        <v/>
      </c>
      <c r="L11" s="15">
        <f>IF(Mask!L11=1,0,IF(p_reset=1,p_U*$A11,0.25*(M11+K11+L10+L12)))</f>
        <v/>
      </c>
      <c r="M11" s="15">
        <f>IF(Mask!M11=1,0,IF(p_reset=1,p_U*$A11,0.25*(N11+L11+M10+M12)))</f>
        <v/>
      </c>
      <c r="N11" s="15">
        <f>IF(Mask!N11=1,0,IF(p_reset=1,p_U*$A11,0.25*(O11+M11+N10+N12)))</f>
        <v/>
      </c>
      <c r="O11" s="15">
        <f>IF(Mask!O11=1,0,IF(p_reset=1,p_U*$A11,0.25*(P11+N11+O10+O12)))</f>
        <v/>
      </c>
      <c r="P11" s="15">
        <f>IF(Mask!P11=1,0,IF(p_reset=1,p_U*$A11,0.25*(Q11+O11+P10+P12)))</f>
        <v/>
      </c>
      <c r="Q11" s="15">
        <f>IF(Mask!Q11=1,0,IF(p_reset=1,p_U*$A11,0.25*(R11+P11+Q10+Q12)))</f>
        <v/>
      </c>
      <c r="R11" s="15">
        <f>IF(Mask!R11=1,0,IF(p_reset=1,p_U*$A11,0.25*(S11+Q11+R10+R12)))</f>
        <v/>
      </c>
      <c r="S11" s="15">
        <f>IF(Mask!S11=1,0,IF(p_reset=1,p_U*$A11,0.25*(T11+R11+S10+S12)))</f>
        <v/>
      </c>
      <c r="T11" s="15">
        <f>IF(Mask!T11=1,0,IF(p_reset=1,p_U*$A11,0.25*(U11+S11+T10+T12)))</f>
        <v/>
      </c>
      <c r="U11" s="15">
        <f>IF(Mask!U11=1,0,IF(p_reset=1,p_U*$A11,0.25*(V11+T11+U10+U12)))</f>
        <v/>
      </c>
      <c r="V11" s="15">
        <f>IF(Mask!V11=1,0,IF(p_reset=1,p_U*$A11,0.25*(W11+U11+V10+V12)))</f>
        <v/>
      </c>
      <c r="W11" s="15">
        <f>IF(Mask!W11=1,0,IF(p_reset=1,p_U*$A11,0.25*(X11+V11+W10+W12)))</f>
        <v/>
      </c>
      <c r="X11" s="15">
        <f>IF(Mask!X11=1,0,IF(p_reset=1,p_U*$A11,0.25*(Y11+W11+X10+X12)))</f>
        <v/>
      </c>
      <c r="Y11" s="15">
        <f>IF(Mask!Y11=1,0,IF(p_reset=1,p_U*$A11,0.25*(Z11+X11+Y10+Y12)))</f>
        <v/>
      </c>
      <c r="Z11" s="15">
        <f>IF(Mask!Z11=1,0,IF(p_reset=1,p_U*$A11,0.25*(AA11+Y11+Z10+Z12)))</f>
        <v/>
      </c>
      <c r="AA11" s="15">
        <f>IF(Mask!AA11=1,0,IF(p_reset=1,p_U*$A11,0.25*(AB11+Z11+AA10+AA12)))</f>
        <v/>
      </c>
      <c r="AB11" s="15">
        <f>IF(Mask!AB11=1,0,IF(p_reset=1,p_U*$A11,0.25*(AC11+AA11+AB10+AB12)))</f>
        <v/>
      </c>
      <c r="AC11" s="15">
        <f>IF(Mask!AC11=1,0,IF(p_reset=1,p_U*$A11,0.25*(AD11+AB11+AC10+AC12)))</f>
        <v/>
      </c>
      <c r="AD11" s="15">
        <f>IF(Mask!AD11=1,0,IF(p_reset=1,p_U*$A11,0.25*(AE11+AC11+AD10+AD12)))</f>
        <v/>
      </c>
      <c r="AE11" s="15">
        <f>IF(Mask!AE11=1,0,IF(p_reset=1,p_U*$A11,0.25*(AF11+AD11+AE10+AE12)))</f>
        <v/>
      </c>
      <c r="AF11" s="15">
        <f>IF(Mask!AF11=1,0,IF(p_reset=1,p_U*$A11,0.25*(AG11+AE11+AF10+AF12)))</f>
        <v/>
      </c>
      <c r="AG11" s="15">
        <f>IF(Mask!AG11=1,0,IF(p_reset=1,p_U*$A11,0.25*(AH11+AF11+AG10+AG12)))</f>
        <v/>
      </c>
      <c r="AH11" s="15">
        <f>IF(Mask!AH11=1,0,IF(p_reset=1,p_U*$A11,0.25*(AI11+AG11+AH10+AH12)))</f>
        <v/>
      </c>
      <c r="AI11" s="15">
        <f>IF(Mask!AI11=1,0,IF(p_reset=1,p_U*$A11,0.25*(AJ11+AH11+AI10+AI12)))</f>
        <v/>
      </c>
      <c r="AJ11" s="15">
        <f>IF(Mask!AJ11=1,0,IF(p_reset=1,p_U*$A11,0.25*(AK11+AI11+AJ10+AJ12)))</f>
        <v/>
      </c>
      <c r="AK11" s="15">
        <f>IF(Mask!AK11=1,0,IF(p_reset=1,p_U*$A11,0.25*(AL11+AJ11+AK10+AK12)))</f>
        <v/>
      </c>
      <c r="AL11" s="15">
        <f>IF(Mask!AL11=1,0,IF(p_reset=1,p_U*$A11,0.25*(AM11+AK11+AL10+AL12)))</f>
        <v/>
      </c>
      <c r="AM11" s="15">
        <f>IF(Mask!AM11=1,0,IF(p_reset=1,p_U*$A11,0.25*(AN11+AL11+AM10+AM12)))</f>
        <v/>
      </c>
      <c r="AN11" s="15">
        <f>IF(Mask!AN11=1,0,IF(p_reset=1,p_U*$A11,0.25*(AO11+AM11+AN10+AN12)))</f>
        <v/>
      </c>
      <c r="AO11" s="15">
        <f>IF(Mask!AO11=1,0,IF(p_reset=1,p_U*$A11,0.25*(AP11+AN11+AO10+AO12)))</f>
        <v/>
      </c>
      <c r="AP11" s="15">
        <f>IF(p_reset=1,p_U*$A11,AO11)</f>
        <v/>
      </c>
    </row>
    <row r="12">
      <c r="A12" s="7">
        <f>A11-p_h</f>
        <v/>
      </c>
      <c r="B12" s="15">
        <f>p_U*$A12</f>
        <v/>
      </c>
      <c r="C12" s="15">
        <f>IF(Mask!C12=1,0,IF(p_reset=1,p_U*$A12,0.25*(D12+B12+C11+C13)))</f>
        <v/>
      </c>
      <c r="D12" s="15">
        <f>IF(Mask!D12=1,0,IF(p_reset=1,p_U*$A12,0.25*(E12+C12+D11+D13)))</f>
        <v/>
      </c>
      <c r="E12" s="15">
        <f>IF(Mask!E12=1,0,IF(p_reset=1,p_U*$A12,0.25*(F12+D12+E11+E13)))</f>
        <v/>
      </c>
      <c r="F12" s="15">
        <f>IF(Mask!F12=1,0,IF(p_reset=1,p_U*$A12,0.25*(G12+E12+F11+F13)))</f>
        <v/>
      </c>
      <c r="G12" s="15">
        <f>IF(Mask!G12=1,0,IF(p_reset=1,p_U*$A12,0.25*(H12+F12+G11+G13)))</f>
        <v/>
      </c>
      <c r="H12" s="15">
        <f>IF(Mask!H12=1,0,IF(p_reset=1,p_U*$A12,0.25*(I12+G12+H11+H13)))</f>
        <v/>
      </c>
      <c r="I12" s="15">
        <f>IF(Mask!I12=1,0,IF(p_reset=1,p_U*$A12,0.25*(J12+H12+I11+I13)))</f>
        <v/>
      </c>
      <c r="J12" s="15">
        <f>IF(Mask!J12=1,0,IF(p_reset=1,p_U*$A12,0.25*(K12+I12+J11+J13)))</f>
        <v/>
      </c>
      <c r="K12" s="15">
        <f>IF(Mask!K12=1,0,IF(p_reset=1,p_U*$A12,0.25*(L12+J12+K11+K13)))</f>
        <v/>
      </c>
      <c r="L12" s="15">
        <f>IF(Mask!L12=1,0,IF(p_reset=1,p_U*$A12,0.25*(M12+K12+L11+L13)))</f>
        <v/>
      </c>
      <c r="M12" s="15">
        <f>IF(Mask!M12=1,0,IF(p_reset=1,p_U*$A12,0.25*(N12+L12+M11+M13)))</f>
        <v/>
      </c>
      <c r="N12" s="15">
        <f>IF(Mask!N12=1,0,IF(p_reset=1,p_U*$A12,0.25*(O12+M12+N11+N13)))</f>
        <v/>
      </c>
      <c r="O12" s="15">
        <f>IF(Mask!O12=1,0,IF(p_reset=1,p_U*$A12,0.25*(P12+N12+O11+O13)))</f>
        <v/>
      </c>
      <c r="P12" s="15">
        <f>IF(Mask!P12=1,0,IF(p_reset=1,p_U*$A12,0.25*(Q12+O12+P11+P13)))</f>
        <v/>
      </c>
      <c r="Q12" s="15">
        <f>IF(Mask!Q12=1,0,IF(p_reset=1,p_U*$A12,0.25*(R12+P12+Q11+Q13)))</f>
        <v/>
      </c>
      <c r="R12" s="15">
        <f>IF(Mask!R12=1,0,IF(p_reset=1,p_U*$A12,0.25*(S12+Q12+R11+R13)))</f>
        <v/>
      </c>
      <c r="S12" s="15">
        <f>IF(Mask!S12=1,0,IF(p_reset=1,p_U*$A12,0.25*(T12+R12+S11+S13)))</f>
        <v/>
      </c>
      <c r="T12" s="15">
        <f>IF(Mask!T12=1,0,IF(p_reset=1,p_U*$A12,0.25*(U12+S12+T11+T13)))</f>
        <v/>
      </c>
      <c r="U12" s="15">
        <f>IF(Mask!U12=1,0,IF(p_reset=1,p_U*$A12,0.25*(V12+T12+U11+U13)))</f>
        <v/>
      </c>
      <c r="V12" s="15">
        <f>IF(Mask!V12=1,0,IF(p_reset=1,p_U*$A12,0.25*(W12+U12+V11+V13)))</f>
        <v/>
      </c>
      <c r="W12" s="15">
        <f>IF(Mask!W12=1,0,IF(p_reset=1,p_U*$A12,0.25*(X12+V12+W11+W13)))</f>
        <v/>
      </c>
      <c r="X12" s="15">
        <f>IF(Mask!X12=1,0,IF(p_reset=1,p_U*$A12,0.25*(Y12+W12+X11+X13)))</f>
        <v/>
      </c>
      <c r="Y12" s="15">
        <f>IF(Mask!Y12=1,0,IF(p_reset=1,p_U*$A12,0.25*(Z12+X12+Y11+Y13)))</f>
        <v/>
      </c>
      <c r="Z12" s="15">
        <f>IF(Mask!Z12=1,0,IF(p_reset=1,p_U*$A12,0.25*(AA12+Y12+Z11+Z13)))</f>
        <v/>
      </c>
      <c r="AA12" s="15">
        <f>IF(Mask!AA12=1,0,IF(p_reset=1,p_U*$A12,0.25*(AB12+Z12+AA11+AA13)))</f>
        <v/>
      </c>
      <c r="AB12" s="15">
        <f>IF(Mask!AB12=1,0,IF(p_reset=1,p_U*$A12,0.25*(AC12+AA12+AB11+AB13)))</f>
        <v/>
      </c>
      <c r="AC12" s="15">
        <f>IF(Mask!AC12=1,0,IF(p_reset=1,p_U*$A12,0.25*(AD12+AB12+AC11+AC13)))</f>
        <v/>
      </c>
      <c r="AD12" s="15">
        <f>IF(Mask!AD12=1,0,IF(p_reset=1,p_U*$A12,0.25*(AE12+AC12+AD11+AD13)))</f>
        <v/>
      </c>
      <c r="AE12" s="15">
        <f>IF(Mask!AE12=1,0,IF(p_reset=1,p_U*$A12,0.25*(AF12+AD12+AE11+AE13)))</f>
        <v/>
      </c>
      <c r="AF12" s="15">
        <f>IF(Mask!AF12=1,0,IF(p_reset=1,p_U*$A12,0.25*(AG12+AE12+AF11+AF13)))</f>
        <v/>
      </c>
      <c r="AG12" s="15">
        <f>IF(Mask!AG12=1,0,IF(p_reset=1,p_U*$A12,0.25*(AH12+AF12+AG11+AG13)))</f>
        <v/>
      </c>
      <c r="AH12" s="15">
        <f>IF(Mask!AH12=1,0,IF(p_reset=1,p_U*$A12,0.25*(AI12+AG12+AH11+AH13)))</f>
        <v/>
      </c>
      <c r="AI12" s="15">
        <f>IF(Mask!AI12=1,0,IF(p_reset=1,p_U*$A12,0.25*(AJ12+AH12+AI11+AI13)))</f>
        <v/>
      </c>
      <c r="AJ12" s="15">
        <f>IF(Mask!AJ12=1,0,IF(p_reset=1,p_U*$A12,0.25*(AK12+AI12+AJ11+AJ13)))</f>
        <v/>
      </c>
      <c r="AK12" s="15">
        <f>IF(Mask!AK12=1,0,IF(p_reset=1,p_U*$A12,0.25*(AL12+AJ12+AK11+AK13)))</f>
        <v/>
      </c>
      <c r="AL12" s="15">
        <f>IF(Mask!AL12=1,0,IF(p_reset=1,p_U*$A12,0.25*(AM12+AK12+AL11+AL13)))</f>
        <v/>
      </c>
      <c r="AM12" s="15">
        <f>IF(Mask!AM12=1,0,IF(p_reset=1,p_U*$A12,0.25*(AN12+AL12+AM11+AM13)))</f>
        <v/>
      </c>
      <c r="AN12" s="15">
        <f>IF(Mask!AN12=1,0,IF(p_reset=1,p_U*$A12,0.25*(AO12+AM12+AN11+AN13)))</f>
        <v/>
      </c>
      <c r="AO12" s="15">
        <f>IF(Mask!AO12=1,0,IF(p_reset=1,p_U*$A12,0.25*(AP12+AN12+AO11+AO13)))</f>
        <v/>
      </c>
      <c r="AP12" s="15">
        <f>IF(p_reset=1,p_U*$A12,AO12)</f>
        <v/>
      </c>
    </row>
    <row r="13">
      <c r="A13" s="7">
        <f>A12-p_h</f>
        <v/>
      </c>
      <c r="B13" s="15">
        <f>p_U*$A13</f>
        <v/>
      </c>
      <c r="C13" s="15">
        <f>IF(Mask!C13=1,0,IF(p_reset=1,p_U*$A13,0.25*(D13+B13+C12+C14)))</f>
        <v/>
      </c>
      <c r="D13" s="15">
        <f>IF(Mask!D13=1,0,IF(p_reset=1,p_U*$A13,0.25*(E13+C13+D12+D14)))</f>
        <v/>
      </c>
      <c r="E13" s="15">
        <f>IF(Mask!E13=1,0,IF(p_reset=1,p_U*$A13,0.25*(F13+D13+E12+E14)))</f>
        <v/>
      </c>
      <c r="F13" s="15">
        <f>IF(Mask!F13=1,0,IF(p_reset=1,p_U*$A13,0.25*(G13+E13+F12+F14)))</f>
        <v/>
      </c>
      <c r="G13" s="15">
        <f>IF(Mask!G13=1,0,IF(p_reset=1,p_U*$A13,0.25*(H13+F13+G12+G14)))</f>
        <v/>
      </c>
      <c r="H13" s="15">
        <f>IF(Mask!H13=1,0,IF(p_reset=1,p_U*$A13,0.25*(I13+G13+H12+H14)))</f>
        <v/>
      </c>
      <c r="I13" s="15">
        <f>IF(Mask!I13=1,0,IF(p_reset=1,p_U*$A13,0.25*(J13+H13+I12+I14)))</f>
        <v/>
      </c>
      <c r="J13" s="15">
        <f>IF(Mask!J13=1,0,IF(p_reset=1,p_U*$A13,0.25*(K13+I13+J12+J14)))</f>
        <v/>
      </c>
      <c r="K13" s="15">
        <f>IF(Mask!K13=1,0,IF(p_reset=1,p_U*$A13,0.25*(L13+J13+K12+K14)))</f>
        <v/>
      </c>
      <c r="L13" s="15">
        <f>IF(Mask!L13=1,0,IF(p_reset=1,p_U*$A13,0.25*(M13+K13+L12+L14)))</f>
        <v/>
      </c>
      <c r="M13" s="15">
        <f>IF(Mask!M13=1,0,IF(p_reset=1,p_U*$A13,0.25*(N13+L13+M12+M14)))</f>
        <v/>
      </c>
      <c r="N13" s="15">
        <f>IF(Mask!N13=1,0,IF(p_reset=1,p_U*$A13,0.25*(O13+M13+N12+N14)))</f>
        <v/>
      </c>
      <c r="O13" s="15">
        <f>IF(Mask!O13=1,0,IF(p_reset=1,p_U*$A13,0.25*(P13+N13+O12+O14)))</f>
        <v/>
      </c>
      <c r="P13" s="15">
        <f>IF(Mask!P13=1,0,IF(p_reset=1,p_U*$A13,0.25*(Q13+O13+P12+P14)))</f>
        <v/>
      </c>
      <c r="Q13" s="15">
        <f>IF(Mask!Q13=1,0,IF(p_reset=1,p_U*$A13,0.25*(R13+P13+Q12+Q14)))</f>
        <v/>
      </c>
      <c r="R13" s="15">
        <f>IF(Mask!R13=1,0,IF(p_reset=1,p_U*$A13,0.25*(S13+Q13+R12+R14)))</f>
        <v/>
      </c>
      <c r="S13" s="15">
        <f>IF(Mask!S13=1,0,IF(p_reset=1,p_U*$A13,0.25*(T13+R13+S12+S14)))</f>
        <v/>
      </c>
      <c r="T13" s="15">
        <f>IF(Mask!T13=1,0,IF(p_reset=1,p_U*$A13,0.25*(U13+S13+T12+T14)))</f>
        <v/>
      </c>
      <c r="U13" s="15">
        <f>IF(Mask!U13=1,0,IF(p_reset=1,p_U*$A13,0.25*(V13+T13+U12+U14)))</f>
        <v/>
      </c>
      <c r="V13" s="15">
        <f>IF(Mask!V13=1,0,IF(p_reset=1,p_U*$A13,0.25*(W13+U13+V12+V14)))</f>
        <v/>
      </c>
      <c r="W13" s="15">
        <f>IF(Mask!W13=1,0,IF(p_reset=1,p_U*$A13,0.25*(X13+V13+W12+W14)))</f>
        <v/>
      </c>
      <c r="X13" s="15">
        <f>IF(Mask!X13=1,0,IF(p_reset=1,p_U*$A13,0.25*(Y13+W13+X12+X14)))</f>
        <v/>
      </c>
      <c r="Y13" s="15">
        <f>IF(Mask!Y13=1,0,IF(p_reset=1,p_U*$A13,0.25*(Z13+X13+Y12+Y14)))</f>
        <v/>
      </c>
      <c r="Z13" s="15">
        <f>IF(Mask!Z13=1,0,IF(p_reset=1,p_U*$A13,0.25*(AA13+Y13+Z12+Z14)))</f>
        <v/>
      </c>
      <c r="AA13" s="15">
        <f>IF(Mask!AA13=1,0,IF(p_reset=1,p_U*$A13,0.25*(AB13+Z13+AA12+AA14)))</f>
        <v/>
      </c>
      <c r="AB13" s="15">
        <f>IF(Mask!AB13=1,0,IF(p_reset=1,p_U*$A13,0.25*(AC13+AA13+AB12+AB14)))</f>
        <v/>
      </c>
      <c r="AC13" s="15">
        <f>IF(Mask!AC13=1,0,IF(p_reset=1,p_U*$A13,0.25*(AD13+AB13+AC12+AC14)))</f>
        <v/>
      </c>
      <c r="AD13" s="15">
        <f>IF(Mask!AD13=1,0,IF(p_reset=1,p_U*$A13,0.25*(AE13+AC13+AD12+AD14)))</f>
        <v/>
      </c>
      <c r="AE13" s="15">
        <f>IF(Mask!AE13=1,0,IF(p_reset=1,p_U*$A13,0.25*(AF13+AD13+AE12+AE14)))</f>
        <v/>
      </c>
      <c r="AF13" s="15">
        <f>IF(Mask!AF13=1,0,IF(p_reset=1,p_U*$A13,0.25*(AG13+AE13+AF12+AF14)))</f>
        <v/>
      </c>
      <c r="AG13" s="15">
        <f>IF(Mask!AG13=1,0,IF(p_reset=1,p_U*$A13,0.25*(AH13+AF13+AG12+AG14)))</f>
        <v/>
      </c>
      <c r="AH13" s="15">
        <f>IF(Mask!AH13=1,0,IF(p_reset=1,p_U*$A13,0.25*(AI13+AG13+AH12+AH14)))</f>
        <v/>
      </c>
      <c r="AI13" s="15">
        <f>IF(Mask!AI13=1,0,IF(p_reset=1,p_U*$A13,0.25*(AJ13+AH13+AI12+AI14)))</f>
        <v/>
      </c>
      <c r="AJ13" s="15">
        <f>IF(Mask!AJ13=1,0,IF(p_reset=1,p_U*$A13,0.25*(AK13+AI13+AJ12+AJ14)))</f>
        <v/>
      </c>
      <c r="AK13" s="15">
        <f>IF(Mask!AK13=1,0,IF(p_reset=1,p_U*$A13,0.25*(AL13+AJ13+AK12+AK14)))</f>
        <v/>
      </c>
      <c r="AL13" s="15">
        <f>IF(Mask!AL13=1,0,IF(p_reset=1,p_U*$A13,0.25*(AM13+AK13+AL12+AL14)))</f>
        <v/>
      </c>
      <c r="AM13" s="15">
        <f>IF(Mask!AM13=1,0,IF(p_reset=1,p_U*$A13,0.25*(AN13+AL13+AM12+AM14)))</f>
        <v/>
      </c>
      <c r="AN13" s="15">
        <f>IF(Mask!AN13=1,0,IF(p_reset=1,p_U*$A13,0.25*(AO13+AM13+AN12+AN14)))</f>
        <v/>
      </c>
      <c r="AO13" s="15">
        <f>IF(Mask!AO13=1,0,IF(p_reset=1,p_U*$A13,0.25*(AP13+AN13+AO12+AO14)))</f>
        <v/>
      </c>
      <c r="AP13" s="15">
        <f>IF(p_reset=1,p_U*$A13,AO13)</f>
        <v/>
      </c>
    </row>
    <row r="14">
      <c r="A14" s="7">
        <f>A13-p_h</f>
        <v/>
      </c>
      <c r="B14" s="15">
        <f>p_U*$A14</f>
        <v/>
      </c>
      <c r="C14" s="15">
        <f>IF(Mask!C14=1,0,IF(p_reset=1,p_U*$A14,0.25*(D14+B14+C13+C15)))</f>
        <v/>
      </c>
      <c r="D14" s="15">
        <f>IF(Mask!D14=1,0,IF(p_reset=1,p_U*$A14,0.25*(E14+C14+D13+D15)))</f>
        <v/>
      </c>
      <c r="E14" s="15">
        <f>IF(Mask!E14=1,0,IF(p_reset=1,p_U*$A14,0.25*(F14+D14+E13+E15)))</f>
        <v/>
      </c>
      <c r="F14" s="15">
        <f>IF(Mask!F14=1,0,IF(p_reset=1,p_U*$A14,0.25*(G14+E14+F13+F15)))</f>
        <v/>
      </c>
      <c r="G14" s="15">
        <f>IF(Mask!G14=1,0,IF(p_reset=1,p_U*$A14,0.25*(H14+F14+G13+G15)))</f>
        <v/>
      </c>
      <c r="H14" s="15">
        <f>IF(Mask!H14=1,0,IF(p_reset=1,p_U*$A14,0.25*(I14+G14+H13+H15)))</f>
        <v/>
      </c>
      <c r="I14" s="15">
        <f>IF(Mask!I14=1,0,IF(p_reset=1,p_U*$A14,0.25*(J14+H14+I13+I15)))</f>
        <v/>
      </c>
      <c r="J14" s="15">
        <f>IF(Mask!J14=1,0,IF(p_reset=1,p_U*$A14,0.25*(K14+I14+J13+J15)))</f>
        <v/>
      </c>
      <c r="K14" s="15">
        <f>IF(Mask!K14=1,0,IF(p_reset=1,p_U*$A14,0.25*(L14+J14+K13+K15)))</f>
        <v/>
      </c>
      <c r="L14" s="15">
        <f>IF(Mask!L14=1,0,IF(p_reset=1,p_U*$A14,0.25*(M14+K14+L13+L15)))</f>
        <v/>
      </c>
      <c r="M14" s="15">
        <f>IF(Mask!M14=1,0,IF(p_reset=1,p_U*$A14,0.25*(N14+L14+M13+M15)))</f>
        <v/>
      </c>
      <c r="N14" s="15">
        <f>IF(Mask!N14=1,0,IF(p_reset=1,p_U*$A14,0.25*(O14+M14+N13+N15)))</f>
        <v/>
      </c>
      <c r="O14" s="15">
        <f>IF(Mask!O14=1,0,IF(p_reset=1,p_U*$A14,0.25*(P14+N14+O13+O15)))</f>
        <v/>
      </c>
      <c r="P14" s="15">
        <f>IF(Mask!P14=1,0,IF(p_reset=1,p_U*$A14,0.25*(Q14+O14+P13+P15)))</f>
        <v/>
      </c>
      <c r="Q14" s="15">
        <f>IF(Mask!Q14=1,0,IF(p_reset=1,p_U*$A14,0.25*(R14+P14+Q13+Q15)))</f>
        <v/>
      </c>
      <c r="R14" s="15">
        <f>IF(Mask!R14=1,0,IF(p_reset=1,p_U*$A14,0.25*(S14+Q14+R13+R15)))</f>
        <v/>
      </c>
      <c r="S14" s="15">
        <f>IF(Mask!S14=1,0,IF(p_reset=1,p_U*$A14,0.25*(T14+R14+S13+S15)))</f>
        <v/>
      </c>
      <c r="T14" s="15">
        <f>IF(Mask!T14=1,0,IF(p_reset=1,p_U*$A14,0.25*(U14+S14+T13+T15)))</f>
        <v/>
      </c>
      <c r="U14" s="15">
        <f>IF(Mask!U14=1,0,IF(p_reset=1,p_U*$A14,0.25*(V14+T14+U13+U15)))</f>
        <v/>
      </c>
      <c r="V14" s="15">
        <f>IF(Mask!V14=1,0,IF(p_reset=1,p_U*$A14,0.25*(W14+U14+V13+V15)))</f>
        <v/>
      </c>
      <c r="W14" s="15">
        <f>IF(Mask!W14=1,0,IF(p_reset=1,p_U*$A14,0.25*(X14+V14+W13+W15)))</f>
        <v/>
      </c>
      <c r="X14" s="15">
        <f>IF(Mask!X14=1,0,IF(p_reset=1,p_U*$A14,0.25*(Y14+W14+X13+X15)))</f>
        <v/>
      </c>
      <c r="Y14" s="15">
        <f>IF(Mask!Y14=1,0,IF(p_reset=1,p_U*$A14,0.25*(Z14+X14+Y13+Y15)))</f>
        <v/>
      </c>
      <c r="Z14" s="15">
        <f>IF(Mask!Z14=1,0,IF(p_reset=1,p_U*$A14,0.25*(AA14+Y14+Z13+Z15)))</f>
        <v/>
      </c>
      <c r="AA14" s="15">
        <f>IF(Mask!AA14=1,0,IF(p_reset=1,p_U*$A14,0.25*(AB14+Z14+AA13+AA15)))</f>
        <v/>
      </c>
      <c r="AB14" s="15">
        <f>IF(Mask!AB14=1,0,IF(p_reset=1,p_U*$A14,0.25*(AC14+AA14+AB13+AB15)))</f>
        <v/>
      </c>
      <c r="AC14" s="15">
        <f>IF(Mask!AC14=1,0,IF(p_reset=1,p_U*$A14,0.25*(AD14+AB14+AC13+AC15)))</f>
        <v/>
      </c>
      <c r="AD14" s="15">
        <f>IF(Mask!AD14=1,0,IF(p_reset=1,p_U*$A14,0.25*(AE14+AC14+AD13+AD15)))</f>
        <v/>
      </c>
      <c r="AE14" s="15">
        <f>IF(Mask!AE14=1,0,IF(p_reset=1,p_U*$A14,0.25*(AF14+AD14+AE13+AE15)))</f>
        <v/>
      </c>
      <c r="AF14" s="15">
        <f>IF(Mask!AF14=1,0,IF(p_reset=1,p_U*$A14,0.25*(AG14+AE14+AF13+AF15)))</f>
        <v/>
      </c>
      <c r="AG14" s="15">
        <f>IF(Mask!AG14=1,0,IF(p_reset=1,p_U*$A14,0.25*(AH14+AF14+AG13+AG15)))</f>
        <v/>
      </c>
      <c r="AH14" s="15">
        <f>IF(Mask!AH14=1,0,IF(p_reset=1,p_U*$A14,0.25*(AI14+AG14+AH13+AH15)))</f>
        <v/>
      </c>
      <c r="AI14" s="15">
        <f>IF(Mask!AI14=1,0,IF(p_reset=1,p_U*$A14,0.25*(AJ14+AH14+AI13+AI15)))</f>
        <v/>
      </c>
      <c r="AJ14" s="15">
        <f>IF(Mask!AJ14=1,0,IF(p_reset=1,p_U*$A14,0.25*(AK14+AI14+AJ13+AJ15)))</f>
        <v/>
      </c>
      <c r="AK14" s="15">
        <f>IF(Mask!AK14=1,0,IF(p_reset=1,p_U*$A14,0.25*(AL14+AJ14+AK13+AK15)))</f>
        <v/>
      </c>
      <c r="AL14" s="15">
        <f>IF(Mask!AL14=1,0,IF(p_reset=1,p_U*$A14,0.25*(AM14+AK14+AL13+AL15)))</f>
        <v/>
      </c>
      <c r="AM14" s="15">
        <f>IF(Mask!AM14=1,0,IF(p_reset=1,p_U*$A14,0.25*(AN14+AL14+AM13+AM15)))</f>
        <v/>
      </c>
      <c r="AN14" s="15">
        <f>IF(Mask!AN14=1,0,IF(p_reset=1,p_U*$A14,0.25*(AO14+AM14+AN13+AN15)))</f>
        <v/>
      </c>
      <c r="AO14" s="15">
        <f>IF(Mask!AO14=1,0,IF(p_reset=1,p_U*$A14,0.25*(AP14+AN14+AO13+AO15)))</f>
        <v/>
      </c>
      <c r="AP14" s="15">
        <f>IF(p_reset=1,p_U*$A14,AO14)</f>
        <v/>
      </c>
    </row>
    <row r="15">
      <c r="A15" s="7">
        <f>A14-p_h</f>
        <v/>
      </c>
      <c r="B15" s="15">
        <f>p_U*$A15</f>
        <v/>
      </c>
      <c r="C15" s="15">
        <f>IF(Mask!C15=1,0,IF(p_reset=1,p_U*$A15,0.25*(D15+B15+C14+C16)))</f>
        <v/>
      </c>
      <c r="D15" s="15">
        <f>IF(Mask!D15=1,0,IF(p_reset=1,p_U*$A15,0.25*(E15+C15+D14+D16)))</f>
        <v/>
      </c>
      <c r="E15" s="15">
        <f>IF(Mask!E15=1,0,IF(p_reset=1,p_U*$A15,0.25*(F15+D15+E14+E16)))</f>
        <v/>
      </c>
      <c r="F15" s="15">
        <f>IF(Mask!F15=1,0,IF(p_reset=1,p_U*$A15,0.25*(G15+E15+F14+F16)))</f>
        <v/>
      </c>
      <c r="G15" s="15">
        <f>IF(Mask!G15=1,0,IF(p_reset=1,p_U*$A15,0.25*(H15+F15+G14+G16)))</f>
        <v/>
      </c>
      <c r="H15" s="15">
        <f>IF(Mask!H15=1,0,IF(p_reset=1,p_U*$A15,0.25*(I15+G15+H14+H16)))</f>
        <v/>
      </c>
      <c r="I15" s="15">
        <f>IF(Mask!I15=1,0,IF(p_reset=1,p_U*$A15,0.25*(J15+H15+I14+I16)))</f>
        <v/>
      </c>
      <c r="J15" s="15">
        <f>IF(Mask!J15=1,0,IF(p_reset=1,p_U*$A15,0.25*(K15+I15+J14+J16)))</f>
        <v/>
      </c>
      <c r="K15" s="15">
        <f>IF(Mask!K15=1,0,IF(p_reset=1,p_U*$A15,0.25*(L15+J15+K14+K16)))</f>
        <v/>
      </c>
      <c r="L15" s="15">
        <f>IF(Mask!L15=1,0,IF(p_reset=1,p_U*$A15,0.25*(M15+K15+L14+L16)))</f>
        <v/>
      </c>
      <c r="M15" s="15">
        <f>IF(Mask!M15=1,0,IF(p_reset=1,p_U*$A15,0.25*(N15+L15+M14+M16)))</f>
        <v/>
      </c>
      <c r="N15" s="15">
        <f>IF(Mask!N15=1,0,IF(p_reset=1,p_U*$A15,0.25*(O15+M15+N14+N16)))</f>
        <v/>
      </c>
      <c r="O15" s="15">
        <f>IF(Mask!O15=1,0,IF(p_reset=1,p_U*$A15,0.25*(P15+N15+O14+O16)))</f>
        <v/>
      </c>
      <c r="P15" s="15">
        <f>IF(Mask!P15=1,0,IF(p_reset=1,p_U*$A15,0.25*(Q15+O15+P14+P16)))</f>
        <v/>
      </c>
      <c r="Q15" s="15">
        <f>IF(Mask!Q15=1,0,IF(p_reset=1,p_U*$A15,0.25*(R15+P15+Q14+Q16)))</f>
        <v/>
      </c>
      <c r="R15" s="15">
        <f>IF(Mask!R15=1,0,IF(p_reset=1,p_U*$A15,0.25*(S15+Q15+R14+R16)))</f>
        <v/>
      </c>
      <c r="S15" s="15">
        <f>IF(Mask!S15=1,0,IF(p_reset=1,p_U*$A15,0.25*(T15+R15+S14+S16)))</f>
        <v/>
      </c>
      <c r="T15" s="15">
        <f>IF(Mask!T15=1,0,IF(p_reset=1,p_U*$A15,0.25*(U15+S15+T14+T16)))</f>
        <v/>
      </c>
      <c r="U15" s="15">
        <f>IF(Mask!U15=1,0,IF(p_reset=1,p_U*$A15,0.25*(V15+T15+U14+U16)))</f>
        <v/>
      </c>
      <c r="V15" s="15">
        <f>IF(Mask!V15=1,0,IF(p_reset=1,p_U*$A15,0.25*(W15+U15+V14+V16)))</f>
        <v/>
      </c>
      <c r="W15" s="15">
        <f>IF(Mask!W15=1,0,IF(p_reset=1,p_U*$A15,0.25*(X15+V15+W14+W16)))</f>
        <v/>
      </c>
      <c r="X15" s="15">
        <f>IF(Mask!X15=1,0,IF(p_reset=1,p_U*$A15,0.25*(Y15+W15+X14+X16)))</f>
        <v/>
      </c>
      <c r="Y15" s="15">
        <f>IF(Mask!Y15=1,0,IF(p_reset=1,p_U*$A15,0.25*(Z15+X15+Y14+Y16)))</f>
        <v/>
      </c>
      <c r="Z15" s="15">
        <f>IF(Mask!Z15=1,0,IF(p_reset=1,p_U*$A15,0.25*(AA15+Y15+Z14+Z16)))</f>
        <v/>
      </c>
      <c r="AA15" s="15">
        <f>IF(Mask!AA15=1,0,IF(p_reset=1,p_U*$A15,0.25*(AB15+Z15+AA14+AA16)))</f>
        <v/>
      </c>
      <c r="AB15" s="15">
        <f>IF(Mask!AB15=1,0,IF(p_reset=1,p_U*$A15,0.25*(AC15+AA15+AB14+AB16)))</f>
        <v/>
      </c>
      <c r="AC15" s="15">
        <f>IF(Mask!AC15=1,0,IF(p_reset=1,p_U*$A15,0.25*(AD15+AB15+AC14+AC16)))</f>
        <v/>
      </c>
      <c r="AD15" s="15">
        <f>IF(Mask!AD15=1,0,IF(p_reset=1,p_U*$A15,0.25*(AE15+AC15+AD14+AD16)))</f>
        <v/>
      </c>
      <c r="AE15" s="15">
        <f>IF(Mask!AE15=1,0,IF(p_reset=1,p_U*$A15,0.25*(AF15+AD15+AE14+AE16)))</f>
        <v/>
      </c>
      <c r="AF15" s="15">
        <f>IF(Mask!AF15=1,0,IF(p_reset=1,p_U*$A15,0.25*(AG15+AE15+AF14+AF16)))</f>
        <v/>
      </c>
      <c r="AG15" s="15">
        <f>IF(Mask!AG15=1,0,IF(p_reset=1,p_U*$A15,0.25*(AH15+AF15+AG14+AG16)))</f>
        <v/>
      </c>
      <c r="AH15" s="15">
        <f>IF(Mask!AH15=1,0,IF(p_reset=1,p_U*$A15,0.25*(AI15+AG15+AH14+AH16)))</f>
        <v/>
      </c>
      <c r="AI15" s="15">
        <f>IF(Mask!AI15=1,0,IF(p_reset=1,p_U*$A15,0.25*(AJ15+AH15+AI14+AI16)))</f>
        <v/>
      </c>
      <c r="AJ15" s="15">
        <f>IF(Mask!AJ15=1,0,IF(p_reset=1,p_U*$A15,0.25*(AK15+AI15+AJ14+AJ16)))</f>
        <v/>
      </c>
      <c r="AK15" s="15">
        <f>IF(Mask!AK15=1,0,IF(p_reset=1,p_U*$A15,0.25*(AL15+AJ15+AK14+AK16)))</f>
        <v/>
      </c>
      <c r="AL15" s="15">
        <f>IF(Mask!AL15=1,0,IF(p_reset=1,p_U*$A15,0.25*(AM15+AK15+AL14+AL16)))</f>
        <v/>
      </c>
      <c r="AM15" s="15">
        <f>IF(Mask!AM15=1,0,IF(p_reset=1,p_U*$A15,0.25*(AN15+AL15+AM14+AM16)))</f>
        <v/>
      </c>
      <c r="AN15" s="15">
        <f>IF(Mask!AN15=1,0,IF(p_reset=1,p_U*$A15,0.25*(AO15+AM15+AN14+AN16)))</f>
        <v/>
      </c>
      <c r="AO15" s="15">
        <f>IF(Mask!AO15=1,0,IF(p_reset=1,p_U*$A15,0.25*(AP15+AN15+AO14+AO16)))</f>
        <v/>
      </c>
      <c r="AP15" s="15">
        <f>IF(p_reset=1,p_U*$A15,AO15)</f>
        <v/>
      </c>
    </row>
    <row r="16">
      <c r="A16" s="7">
        <f>A15-p_h</f>
        <v/>
      </c>
      <c r="B16" s="15">
        <f>p_U*$A16</f>
        <v/>
      </c>
      <c r="C16" s="15">
        <f>IF(Mask!C16=1,0,IF(p_reset=1,p_U*$A16,0.25*(D16+B16+C15+C17)))</f>
        <v/>
      </c>
      <c r="D16" s="15">
        <f>IF(Mask!D16=1,0,IF(p_reset=1,p_U*$A16,0.25*(E16+C16+D15+D17)))</f>
        <v/>
      </c>
      <c r="E16" s="15">
        <f>IF(Mask!E16=1,0,IF(p_reset=1,p_U*$A16,0.25*(F16+D16+E15+E17)))</f>
        <v/>
      </c>
      <c r="F16" s="15">
        <f>IF(Mask!F16=1,0,IF(p_reset=1,p_U*$A16,0.25*(G16+E16+F15+F17)))</f>
        <v/>
      </c>
      <c r="G16" s="15">
        <f>IF(Mask!G16=1,0,IF(p_reset=1,p_U*$A16,0.25*(H16+F16+G15+G17)))</f>
        <v/>
      </c>
      <c r="H16" s="15">
        <f>IF(Mask!H16=1,0,IF(p_reset=1,p_U*$A16,0.25*(I16+G16+H15+H17)))</f>
        <v/>
      </c>
      <c r="I16" s="15">
        <f>IF(Mask!I16=1,0,IF(p_reset=1,p_U*$A16,0.25*(J16+H16+I15+I17)))</f>
        <v/>
      </c>
      <c r="J16" s="15">
        <f>IF(Mask!J16=1,0,IF(p_reset=1,p_U*$A16,0.25*(K16+I16+J15+J17)))</f>
        <v/>
      </c>
      <c r="K16" s="15">
        <f>IF(Mask!K16=1,0,IF(p_reset=1,p_U*$A16,0.25*(L16+J16+K15+K17)))</f>
        <v/>
      </c>
      <c r="L16" s="15">
        <f>IF(Mask!L16=1,0,IF(p_reset=1,p_U*$A16,0.25*(M16+K16+L15+L17)))</f>
        <v/>
      </c>
      <c r="M16" s="15">
        <f>IF(Mask!M16=1,0,IF(p_reset=1,p_U*$A16,0.25*(N16+L16+M15+M17)))</f>
        <v/>
      </c>
      <c r="N16" s="15">
        <f>IF(Mask!N16=1,0,IF(p_reset=1,p_U*$A16,0.25*(O16+M16+N15+N17)))</f>
        <v/>
      </c>
      <c r="O16" s="15">
        <f>IF(Mask!O16=1,0,IF(p_reset=1,p_U*$A16,0.25*(P16+N16+O15+O17)))</f>
        <v/>
      </c>
      <c r="P16" s="15">
        <f>IF(Mask!P16=1,0,IF(p_reset=1,p_U*$A16,0.25*(Q16+O16+P15+P17)))</f>
        <v/>
      </c>
      <c r="Q16" s="15">
        <f>IF(Mask!Q16=1,0,IF(p_reset=1,p_U*$A16,0.25*(R16+P16+Q15+Q17)))</f>
        <v/>
      </c>
      <c r="R16" s="15">
        <f>IF(Mask!R16=1,0,IF(p_reset=1,p_U*$A16,0.25*(S16+Q16+R15+R17)))</f>
        <v/>
      </c>
      <c r="S16" s="15">
        <f>IF(Mask!S16=1,0,IF(p_reset=1,p_U*$A16,0.25*(T16+R16+S15+S17)))</f>
        <v/>
      </c>
      <c r="T16" s="15">
        <f>IF(Mask!T16=1,0,IF(p_reset=1,p_U*$A16,0.25*(U16+S16+T15+T17)))</f>
        <v/>
      </c>
      <c r="U16" s="15">
        <f>IF(Mask!U16=1,0,IF(p_reset=1,p_U*$A16,0.25*(V16+T16+U15+U17)))</f>
        <v/>
      </c>
      <c r="V16" s="15">
        <f>IF(Mask!V16=1,0,IF(p_reset=1,p_U*$A16,0.25*(W16+U16+V15+V17)))</f>
        <v/>
      </c>
      <c r="W16" s="15">
        <f>IF(Mask!W16=1,0,IF(p_reset=1,p_U*$A16,0.25*(X16+V16+W15+W17)))</f>
        <v/>
      </c>
      <c r="X16" s="15">
        <f>IF(Mask!X16=1,0,IF(p_reset=1,p_U*$A16,0.25*(Y16+W16+X15+X17)))</f>
        <v/>
      </c>
      <c r="Y16" s="15">
        <f>IF(Mask!Y16=1,0,IF(p_reset=1,p_U*$A16,0.25*(Z16+X16+Y15+Y17)))</f>
        <v/>
      </c>
      <c r="Z16" s="15">
        <f>IF(Mask!Z16=1,0,IF(p_reset=1,p_U*$A16,0.25*(AA16+Y16+Z15+Z17)))</f>
        <v/>
      </c>
      <c r="AA16" s="15">
        <f>IF(Mask!AA16=1,0,IF(p_reset=1,p_U*$A16,0.25*(AB16+Z16+AA15+AA17)))</f>
        <v/>
      </c>
      <c r="AB16" s="15">
        <f>IF(Mask!AB16=1,0,IF(p_reset=1,p_U*$A16,0.25*(AC16+AA16+AB15+AB17)))</f>
        <v/>
      </c>
      <c r="AC16" s="15">
        <f>IF(Mask!AC16=1,0,IF(p_reset=1,p_U*$A16,0.25*(AD16+AB16+AC15+AC17)))</f>
        <v/>
      </c>
      <c r="AD16" s="15">
        <f>IF(Mask!AD16=1,0,IF(p_reset=1,p_U*$A16,0.25*(AE16+AC16+AD15+AD17)))</f>
        <v/>
      </c>
      <c r="AE16" s="15">
        <f>IF(Mask!AE16=1,0,IF(p_reset=1,p_U*$A16,0.25*(AF16+AD16+AE15+AE17)))</f>
        <v/>
      </c>
      <c r="AF16" s="15">
        <f>IF(Mask!AF16=1,0,IF(p_reset=1,p_U*$A16,0.25*(AG16+AE16+AF15+AF17)))</f>
        <v/>
      </c>
      <c r="AG16" s="15">
        <f>IF(Mask!AG16=1,0,IF(p_reset=1,p_U*$A16,0.25*(AH16+AF16+AG15+AG17)))</f>
        <v/>
      </c>
      <c r="AH16" s="15">
        <f>IF(Mask!AH16=1,0,IF(p_reset=1,p_U*$A16,0.25*(AI16+AG16+AH15+AH17)))</f>
        <v/>
      </c>
      <c r="AI16" s="15">
        <f>IF(Mask!AI16=1,0,IF(p_reset=1,p_U*$A16,0.25*(AJ16+AH16+AI15+AI17)))</f>
        <v/>
      </c>
      <c r="AJ16" s="15">
        <f>IF(Mask!AJ16=1,0,IF(p_reset=1,p_U*$A16,0.25*(AK16+AI16+AJ15+AJ17)))</f>
        <v/>
      </c>
      <c r="AK16" s="15">
        <f>IF(Mask!AK16=1,0,IF(p_reset=1,p_U*$A16,0.25*(AL16+AJ16+AK15+AK17)))</f>
        <v/>
      </c>
      <c r="AL16" s="15">
        <f>IF(Mask!AL16=1,0,IF(p_reset=1,p_U*$A16,0.25*(AM16+AK16+AL15+AL17)))</f>
        <v/>
      </c>
      <c r="AM16" s="15">
        <f>IF(Mask!AM16=1,0,IF(p_reset=1,p_U*$A16,0.25*(AN16+AL16+AM15+AM17)))</f>
        <v/>
      </c>
      <c r="AN16" s="15">
        <f>IF(Mask!AN16=1,0,IF(p_reset=1,p_U*$A16,0.25*(AO16+AM16+AN15+AN17)))</f>
        <v/>
      </c>
      <c r="AO16" s="15">
        <f>IF(Mask!AO16=1,0,IF(p_reset=1,p_U*$A16,0.25*(AP16+AN16+AO15+AO17)))</f>
        <v/>
      </c>
      <c r="AP16" s="15">
        <f>IF(p_reset=1,p_U*$A16,AO16)</f>
        <v/>
      </c>
    </row>
    <row r="17">
      <c r="A17" s="7">
        <f>A16-p_h</f>
        <v/>
      </c>
      <c r="B17" s="15">
        <f>p_U*$A17</f>
        <v/>
      </c>
      <c r="C17" s="15">
        <f>IF(Mask!C17=1,0,IF(p_reset=1,p_U*$A17,0.25*(D17+B17+C16+C18)))</f>
        <v/>
      </c>
      <c r="D17" s="15">
        <f>IF(Mask!D17=1,0,IF(p_reset=1,p_U*$A17,0.25*(E17+C17+D16+D18)))</f>
        <v/>
      </c>
      <c r="E17" s="15">
        <f>IF(Mask!E17=1,0,IF(p_reset=1,p_U*$A17,0.25*(F17+D17+E16+E18)))</f>
        <v/>
      </c>
      <c r="F17" s="15">
        <f>IF(Mask!F17=1,0,IF(p_reset=1,p_U*$A17,0.25*(G17+E17+F16+F18)))</f>
        <v/>
      </c>
      <c r="G17" s="15">
        <f>IF(Mask!G17=1,0,IF(p_reset=1,p_U*$A17,0.25*(H17+F17+G16+G18)))</f>
        <v/>
      </c>
      <c r="H17" s="15">
        <f>IF(Mask!H17=1,0,IF(p_reset=1,p_U*$A17,0.25*(I17+G17+H16+H18)))</f>
        <v/>
      </c>
      <c r="I17" s="15">
        <f>IF(Mask!I17=1,0,IF(p_reset=1,p_U*$A17,0.25*(J17+H17+I16+I18)))</f>
        <v/>
      </c>
      <c r="J17" s="15">
        <f>IF(Mask!J17=1,0,IF(p_reset=1,p_U*$A17,0.25*(K17+I17+J16+J18)))</f>
        <v/>
      </c>
      <c r="K17" s="15">
        <f>IF(Mask!K17=1,0,IF(p_reset=1,p_U*$A17,0.25*(L17+J17+K16+K18)))</f>
        <v/>
      </c>
      <c r="L17" s="15">
        <f>IF(Mask!L17=1,0,IF(p_reset=1,p_U*$A17,0.25*(M17+K17+L16+L18)))</f>
        <v/>
      </c>
      <c r="M17" s="15">
        <f>IF(Mask!M17=1,0,IF(p_reset=1,p_U*$A17,0.25*(N17+L17+M16+M18)))</f>
        <v/>
      </c>
      <c r="N17" s="15">
        <f>IF(Mask!N17=1,0,IF(p_reset=1,p_U*$A17,0.25*(O17+M17+N16+N18)))</f>
        <v/>
      </c>
      <c r="O17" s="15">
        <f>IF(Mask!O17=1,0,IF(p_reset=1,p_U*$A17,0.25*(P17+N17+O16+O18)))</f>
        <v/>
      </c>
      <c r="P17" s="15">
        <f>IF(Mask!P17=1,0,IF(p_reset=1,p_U*$A17,0.25*(Q17+O17+P16+P18)))</f>
        <v/>
      </c>
      <c r="Q17" s="15">
        <f>IF(Mask!Q17=1,0,IF(p_reset=1,p_U*$A17,0.25*(R17+P17+Q16+Q18)))</f>
        <v/>
      </c>
      <c r="R17" s="15">
        <f>IF(Mask!R17=1,0,IF(p_reset=1,p_U*$A17,0.25*(S17+Q17+R16+R18)))</f>
        <v/>
      </c>
      <c r="S17" s="15">
        <f>IF(Mask!S17=1,0,IF(p_reset=1,p_U*$A17,0.25*(T17+R17+S16+S18)))</f>
        <v/>
      </c>
      <c r="T17" s="15">
        <f>IF(Mask!T17=1,0,IF(p_reset=1,p_U*$A17,0.25*(U17+S17+T16+T18)))</f>
        <v/>
      </c>
      <c r="U17" s="15">
        <f>IF(Mask!U17=1,0,IF(p_reset=1,p_U*$A17,0.25*(V17+T17+U16+U18)))</f>
        <v/>
      </c>
      <c r="V17" s="15">
        <f>IF(Mask!V17=1,0,IF(p_reset=1,p_U*$A17,0.25*(W17+U17+V16+V18)))</f>
        <v/>
      </c>
      <c r="W17" s="15">
        <f>IF(Mask!W17=1,0,IF(p_reset=1,p_U*$A17,0.25*(X17+V17+W16+W18)))</f>
        <v/>
      </c>
      <c r="X17" s="15">
        <f>IF(Mask!X17=1,0,IF(p_reset=1,p_U*$A17,0.25*(Y17+W17+X16+X18)))</f>
        <v/>
      </c>
      <c r="Y17" s="15">
        <f>IF(Mask!Y17=1,0,IF(p_reset=1,p_U*$A17,0.25*(Z17+X17+Y16+Y18)))</f>
        <v/>
      </c>
      <c r="Z17" s="15">
        <f>IF(Mask!Z17=1,0,IF(p_reset=1,p_U*$A17,0.25*(AA17+Y17+Z16+Z18)))</f>
        <v/>
      </c>
      <c r="AA17" s="15">
        <f>IF(Mask!AA17=1,0,IF(p_reset=1,p_U*$A17,0.25*(AB17+Z17+AA16+AA18)))</f>
        <v/>
      </c>
      <c r="AB17" s="15">
        <f>IF(Mask!AB17=1,0,IF(p_reset=1,p_U*$A17,0.25*(AC17+AA17+AB16+AB18)))</f>
        <v/>
      </c>
      <c r="AC17" s="15">
        <f>IF(Mask!AC17=1,0,IF(p_reset=1,p_U*$A17,0.25*(AD17+AB17+AC16+AC18)))</f>
        <v/>
      </c>
      <c r="AD17" s="15">
        <f>IF(Mask!AD17=1,0,IF(p_reset=1,p_U*$A17,0.25*(AE17+AC17+AD16+AD18)))</f>
        <v/>
      </c>
      <c r="AE17" s="15">
        <f>IF(Mask!AE17=1,0,IF(p_reset=1,p_U*$A17,0.25*(AF17+AD17+AE16+AE18)))</f>
        <v/>
      </c>
      <c r="AF17" s="15">
        <f>IF(Mask!AF17=1,0,IF(p_reset=1,p_U*$A17,0.25*(AG17+AE17+AF16+AF18)))</f>
        <v/>
      </c>
      <c r="AG17" s="15">
        <f>IF(Mask!AG17=1,0,IF(p_reset=1,p_U*$A17,0.25*(AH17+AF17+AG16+AG18)))</f>
        <v/>
      </c>
      <c r="AH17" s="15">
        <f>IF(Mask!AH17=1,0,IF(p_reset=1,p_U*$A17,0.25*(AI17+AG17+AH16+AH18)))</f>
        <v/>
      </c>
      <c r="AI17" s="15">
        <f>IF(Mask!AI17=1,0,IF(p_reset=1,p_U*$A17,0.25*(AJ17+AH17+AI16+AI18)))</f>
        <v/>
      </c>
      <c r="AJ17" s="15">
        <f>IF(Mask!AJ17=1,0,IF(p_reset=1,p_U*$A17,0.25*(AK17+AI17+AJ16+AJ18)))</f>
        <v/>
      </c>
      <c r="AK17" s="15">
        <f>IF(Mask!AK17=1,0,IF(p_reset=1,p_U*$A17,0.25*(AL17+AJ17+AK16+AK18)))</f>
        <v/>
      </c>
      <c r="AL17" s="15">
        <f>IF(Mask!AL17=1,0,IF(p_reset=1,p_U*$A17,0.25*(AM17+AK17+AL16+AL18)))</f>
        <v/>
      </c>
      <c r="AM17" s="15">
        <f>IF(Mask!AM17=1,0,IF(p_reset=1,p_U*$A17,0.25*(AN17+AL17+AM16+AM18)))</f>
        <v/>
      </c>
      <c r="AN17" s="15">
        <f>IF(Mask!AN17=1,0,IF(p_reset=1,p_U*$A17,0.25*(AO17+AM17+AN16+AN18)))</f>
        <v/>
      </c>
      <c r="AO17" s="15">
        <f>IF(Mask!AO17=1,0,IF(p_reset=1,p_U*$A17,0.25*(AP17+AN17+AO16+AO18)))</f>
        <v/>
      </c>
      <c r="AP17" s="15">
        <f>IF(p_reset=1,p_U*$A17,AO17)</f>
        <v/>
      </c>
    </row>
    <row r="18">
      <c r="A18" s="7">
        <f>A17-p_h</f>
        <v/>
      </c>
      <c r="B18" s="15">
        <f>p_U*$A18</f>
        <v/>
      </c>
      <c r="C18" s="15">
        <f>IF(Mask!C18=1,0,IF(p_reset=1,p_U*$A18,0.25*(D18+B18+C17+C19)))</f>
        <v/>
      </c>
      <c r="D18" s="15">
        <f>IF(Mask!D18=1,0,IF(p_reset=1,p_U*$A18,0.25*(E18+C18+D17+D19)))</f>
        <v/>
      </c>
      <c r="E18" s="15">
        <f>IF(Mask!E18=1,0,IF(p_reset=1,p_U*$A18,0.25*(F18+D18+E17+E19)))</f>
        <v/>
      </c>
      <c r="F18" s="15">
        <f>IF(Mask!F18=1,0,IF(p_reset=1,p_U*$A18,0.25*(G18+E18+F17+F19)))</f>
        <v/>
      </c>
      <c r="G18" s="15">
        <f>IF(Mask!G18=1,0,IF(p_reset=1,p_U*$A18,0.25*(H18+F18+G17+G19)))</f>
        <v/>
      </c>
      <c r="H18" s="15">
        <f>IF(Mask!H18=1,0,IF(p_reset=1,p_U*$A18,0.25*(I18+G18+H17+H19)))</f>
        <v/>
      </c>
      <c r="I18" s="15">
        <f>IF(Mask!I18=1,0,IF(p_reset=1,p_U*$A18,0.25*(J18+H18+I17+I19)))</f>
        <v/>
      </c>
      <c r="J18" s="15">
        <f>IF(Mask!J18=1,0,IF(p_reset=1,p_U*$A18,0.25*(K18+I18+J17+J19)))</f>
        <v/>
      </c>
      <c r="K18" s="15">
        <f>IF(Mask!K18=1,0,IF(p_reset=1,p_U*$A18,0.25*(L18+J18+K17+K19)))</f>
        <v/>
      </c>
      <c r="L18" s="15">
        <f>IF(Mask!L18=1,0,IF(p_reset=1,p_U*$A18,0.25*(M18+K18+L17+L19)))</f>
        <v/>
      </c>
      <c r="M18" s="15">
        <f>IF(Mask!M18=1,0,IF(p_reset=1,p_U*$A18,0.25*(N18+L18+M17+M19)))</f>
        <v/>
      </c>
      <c r="N18" s="15">
        <f>IF(Mask!N18=1,0,IF(p_reset=1,p_U*$A18,0.25*(O18+M18+N17+N19)))</f>
        <v/>
      </c>
      <c r="O18" s="15">
        <f>IF(Mask!O18=1,0,IF(p_reset=1,p_U*$A18,0.25*(P18+N18+O17+O19)))</f>
        <v/>
      </c>
      <c r="P18" s="15">
        <f>IF(Mask!P18=1,0,IF(p_reset=1,p_U*$A18,0.25*(Q18+O18+P17+P19)))</f>
        <v/>
      </c>
      <c r="Q18" s="15">
        <f>IF(Mask!Q18=1,0,IF(p_reset=1,p_U*$A18,0.25*(R18+P18+Q17+Q19)))</f>
        <v/>
      </c>
      <c r="R18" s="15">
        <f>IF(Mask!R18=1,0,IF(p_reset=1,p_U*$A18,0.25*(S18+Q18+R17+R19)))</f>
        <v/>
      </c>
      <c r="S18" s="15">
        <f>IF(Mask!S18=1,0,IF(p_reset=1,p_U*$A18,0.25*(T18+R18+S17+S19)))</f>
        <v/>
      </c>
      <c r="T18" s="15">
        <f>IF(Mask!T18=1,0,IF(p_reset=1,p_U*$A18,0.25*(U18+S18+T17+T19)))</f>
        <v/>
      </c>
      <c r="U18" s="15">
        <f>IF(Mask!U18=1,0,IF(p_reset=1,p_U*$A18,0.25*(V18+T18+U17+U19)))</f>
        <v/>
      </c>
      <c r="V18" s="15">
        <f>IF(Mask!V18=1,0,IF(p_reset=1,p_U*$A18,0.25*(W18+U18+V17+V19)))</f>
        <v/>
      </c>
      <c r="W18" s="15">
        <f>IF(Mask!W18=1,0,IF(p_reset=1,p_U*$A18,0.25*(X18+V18+W17+W19)))</f>
        <v/>
      </c>
      <c r="X18" s="15">
        <f>IF(Mask!X18=1,0,IF(p_reset=1,p_U*$A18,0.25*(Y18+W18+X17+X19)))</f>
        <v/>
      </c>
      <c r="Y18" s="15">
        <f>IF(Mask!Y18=1,0,IF(p_reset=1,p_U*$A18,0.25*(Z18+X18+Y17+Y19)))</f>
        <v/>
      </c>
      <c r="Z18" s="15">
        <f>IF(Mask!Z18=1,0,IF(p_reset=1,p_U*$A18,0.25*(AA18+Y18+Z17+Z19)))</f>
        <v/>
      </c>
      <c r="AA18" s="15">
        <f>IF(Mask!AA18=1,0,IF(p_reset=1,p_U*$A18,0.25*(AB18+Z18+AA17+AA19)))</f>
        <v/>
      </c>
      <c r="AB18" s="15">
        <f>IF(Mask!AB18=1,0,IF(p_reset=1,p_U*$A18,0.25*(AC18+AA18+AB17+AB19)))</f>
        <v/>
      </c>
      <c r="AC18" s="15">
        <f>IF(Mask!AC18=1,0,IF(p_reset=1,p_U*$A18,0.25*(AD18+AB18+AC17+AC19)))</f>
        <v/>
      </c>
      <c r="AD18" s="15">
        <f>IF(Mask!AD18=1,0,IF(p_reset=1,p_U*$A18,0.25*(AE18+AC18+AD17+AD19)))</f>
        <v/>
      </c>
      <c r="AE18" s="15">
        <f>IF(Mask!AE18=1,0,IF(p_reset=1,p_U*$A18,0.25*(AF18+AD18+AE17+AE19)))</f>
        <v/>
      </c>
      <c r="AF18" s="15">
        <f>IF(Mask!AF18=1,0,IF(p_reset=1,p_U*$A18,0.25*(AG18+AE18+AF17+AF19)))</f>
        <v/>
      </c>
      <c r="AG18" s="15">
        <f>IF(Mask!AG18=1,0,IF(p_reset=1,p_U*$A18,0.25*(AH18+AF18+AG17+AG19)))</f>
        <v/>
      </c>
      <c r="AH18" s="15">
        <f>IF(Mask!AH18=1,0,IF(p_reset=1,p_U*$A18,0.25*(AI18+AG18+AH17+AH19)))</f>
        <v/>
      </c>
      <c r="AI18" s="15">
        <f>IF(Mask!AI18=1,0,IF(p_reset=1,p_U*$A18,0.25*(AJ18+AH18+AI17+AI19)))</f>
        <v/>
      </c>
      <c r="AJ18" s="15">
        <f>IF(Mask!AJ18=1,0,IF(p_reset=1,p_U*$A18,0.25*(AK18+AI18+AJ17+AJ19)))</f>
        <v/>
      </c>
      <c r="AK18" s="15">
        <f>IF(Mask!AK18=1,0,IF(p_reset=1,p_U*$A18,0.25*(AL18+AJ18+AK17+AK19)))</f>
        <v/>
      </c>
      <c r="AL18" s="15">
        <f>IF(Mask!AL18=1,0,IF(p_reset=1,p_U*$A18,0.25*(AM18+AK18+AL17+AL19)))</f>
        <v/>
      </c>
      <c r="AM18" s="15">
        <f>IF(Mask!AM18=1,0,IF(p_reset=1,p_U*$A18,0.25*(AN18+AL18+AM17+AM19)))</f>
        <v/>
      </c>
      <c r="AN18" s="15">
        <f>IF(Mask!AN18=1,0,IF(p_reset=1,p_U*$A18,0.25*(AO18+AM18+AN17+AN19)))</f>
        <v/>
      </c>
      <c r="AO18" s="15">
        <f>IF(Mask!AO18=1,0,IF(p_reset=1,p_U*$A18,0.25*(AP18+AN18+AO17+AO19)))</f>
        <v/>
      </c>
      <c r="AP18" s="15">
        <f>IF(p_reset=1,p_U*$A18,AO18)</f>
        <v/>
      </c>
    </row>
    <row r="19">
      <c r="A19" s="7">
        <f>A18-p_h</f>
        <v/>
      </c>
      <c r="B19" s="15">
        <f>p_U*$A19</f>
        <v/>
      </c>
      <c r="C19" s="15">
        <f>IF(Mask!C19=1,0,IF(p_reset=1,p_U*$A19,0.25*(D19+B19+C18+C20)))</f>
        <v/>
      </c>
      <c r="D19" s="15">
        <f>IF(Mask!D19=1,0,IF(p_reset=1,p_U*$A19,0.25*(E19+C19+D18+D20)))</f>
        <v/>
      </c>
      <c r="E19" s="15">
        <f>IF(Mask!E19=1,0,IF(p_reset=1,p_U*$A19,0.25*(F19+D19+E18+E20)))</f>
        <v/>
      </c>
      <c r="F19" s="15">
        <f>IF(Mask!F19=1,0,IF(p_reset=1,p_U*$A19,0.25*(G19+E19+F18+F20)))</f>
        <v/>
      </c>
      <c r="G19" s="15">
        <f>IF(Mask!G19=1,0,IF(p_reset=1,p_U*$A19,0.25*(H19+F19+G18+G20)))</f>
        <v/>
      </c>
      <c r="H19" s="15">
        <f>IF(Mask!H19=1,0,IF(p_reset=1,p_U*$A19,0.25*(I19+G19+H18+H20)))</f>
        <v/>
      </c>
      <c r="I19" s="15">
        <f>IF(Mask!I19=1,0,IF(p_reset=1,p_U*$A19,0.25*(J19+H19+I18+I20)))</f>
        <v/>
      </c>
      <c r="J19" s="15">
        <f>IF(Mask!J19=1,0,IF(p_reset=1,p_U*$A19,0.25*(K19+I19+J18+J20)))</f>
        <v/>
      </c>
      <c r="K19" s="15">
        <f>IF(Mask!K19=1,0,IF(p_reset=1,p_U*$A19,0.25*(L19+J19+K18+K20)))</f>
        <v/>
      </c>
      <c r="L19" s="15">
        <f>IF(Mask!L19=1,0,IF(p_reset=1,p_U*$A19,0.25*(M19+K19+L18+L20)))</f>
        <v/>
      </c>
      <c r="M19" s="15">
        <f>IF(Mask!M19=1,0,IF(p_reset=1,p_U*$A19,0.25*(N19+L19+M18+M20)))</f>
        <v/>
      </c>
      <c r="N19" s="15">
        <f>IF(Mask!N19=1,0,IF(p_reset=1,p_U*$A19,0.25*(O19+M19+N18+N20)))</f>
        <v/>
      </c>
      <c r="O19" s="15">
        <f>IF(Mask!O19=1,0,IF(p_reset=1,p_U*$A19,0.25*(P19+N19+O18+O20)))</f>
        <v/>
      </c>
      <c r="P19" s="15">
        <f>IF(Mask!P19=1,0,IF(p_reset=1,p_U*$A19,0.25*(Q19+O19+P18+P20)))</f>
        <v/>
      </c>
      <c r="Q19" s="15">
        <f>IF(Mask!Q19=1,0,IF(p_reset=1,p_U*$A19,0.25*(R19+P19+Q18+Q20)))</f>
        <v/>
      </c>
      <c r="R19" s="15">
        <f>IF(Mask!R19=1,0,IF(p_reset=1,p_U*$A19,0.25*(S19+Q19+R18+R20)))</f>
        <v/>
      </c>
      <c r="S19" s="15">
        <f>IF(Mask!S19=1,0,IF(p_reset=1,p_U*$A19,0.25*(T19+R19+S18+S20)))</f>
        <v/>
      </c>
      <c r="T19" s="15">
        <f>IF(Mask!T19=1,0,IF(p_reset=1,p_U*$A19,0.25*(U19+S19+T18+T20)))</f>
        <v/>
      </c>
      <c r="U19" s="15">
        <f>IF(Mask!U19=1,0,IF(p_reset=1,p_U*$A19,0.25*(V19+T19+U18+U20)))</f>
        <v/>
      </c>
      <c r="V19" s="15">
        <f>IF(Mask!V19=1,0,IF(p_reset=1,p_U*$A19,0.25*(W19+U19+V18+V20)))</f>
        <v/>
      </c>
      <c r="W19" s="15">
        <f>IF(Mask!W19=1,0,IF(p_reset=1,p_U*$A19,0.25*(X19+V19+W18+W20)))</f>
        <v/>
      </c>
      <c r="X19" s="15">
        <f>IF(Mask!X19=1,0,IF(p_reset=1,p_U*$A19,0.25*(Y19+W19+X18+X20)))</f>
        <v/>
      </c>
      <c r="Y19" s="15">
        <f>IF(Mask!Y19=1,0,IF(p_reset=1,p_U*$A19,0.25*(Z19+X19+Y18+Y20)))</f>
        <v/>
      </c>
      <c r="Z19" s="15">
        <f>IF(Mask!Z19=1,0,IF(p_reset=1,p_U*$A19,0.25*(AA19+Y19+Z18+Z20)))</f>
        <v/>
      </c>
      <c r="AA19" s="15">
        <f>IF(Mask!AA19=1,0,IF(p_reset=1,p_U*$A19,0.25*(AB19+Z19+AA18+AA20)))</f>
        <v/>
      </c>
      <c r="AB19" s="15">
        <f>IF(Mask!AB19=1,0,IF(p_reset=1,p_U*$A19,0.25*(AC19+AA19+AB18+AB20)))</f>
        <v/>
      </c>
      <c r="AC19" s="15">
        <f>IF(Mask!AC19=1,0,IF(p_reset=1,p_U*$A19,0.25*(AD19+AB19+AC18+AC20)))</f>
        <v/>
      </c>
      <c r="AD19" s="15">
        <f>IF(Mask!AD19=1,0,IF(p_reset=1,p_U*$A19,0.25*(AE19+AC19+AD18+AD20)))</f>
        <v/>
      </c>
      <c r="AE19" s="15">
        <f>IF(Mask!AE19=1,0,IF(p_reset=1,p_U*$A19,0.25*(AF19+AD19+AE18+AE20)))</f>
        <v/>
      </c>
      <c r="AF19" s="15">
        <f>IF(Mask!AF19=1,0,IF(p_reset=1,p_U*$A19,0.25*(AG19+AE19+AF18+AF20)))</f>
        <v/>
      </c>
      <c r="AG19" s="15">
        <f>IF(Mask!AG19=1,0,IF(p_reset=1,p_U*$A19,0.25*(AH19+AF19+AG18+AG20)))</f>
        <v/>
      </c>
      <c r="AH19" s="15">
        <f>IF(Mask!AH19=1,0,IF(p_reset=1,p_U*$A19,0.25*(AI19+AG19+AH18+AH20)))</f>
        <v/>
      </c>
      <c r="AI19" s="15">
        <f>IF(Mask!AI19=1,0,IF(p_reset=1,p_U*$A19,0.25*(AJ19+AH19+AI18+AI20)))</f>
        <v/>
      </c>
      <c r="AJ19" s="15">
        <f>IF(Mask!AJ19=1,0,IF(p_reset=1,p_U*$A19,0.25*(AK19+AI19+AJ18+AJ20)))</f>
        <v/>
      </c>
      <c r="AK19" s="15">
        <f>IF(Mask!AK19=1,0,IF(p_reset=1,p_U*$A19,0.25*(AL19+AJ19+AK18+AK20)))</f>
        <v/>
      </c>
      <c r="AL19" s="15">
        <f>IF(Mask!AL19=1,0,IF(p_reset=1,p_U*$A19,0.25*(AM19+AK19+AL18+AL20)))</f>
        <v/>
      </c>
      <c r="AM19" s="15">
        <f>IF(Mask!AM19=1,0,IF(p_reset=1,p_U*$A19,0.25*(AN19+AL19+AM18+AM20)))</f>
        <v/>
      </c>
      <c r="AN19" s="15">
        <f>IF(Mask!AN19=1,0,IF(p_reset=1,p_U*$A19,0.25*(AO19+AM19+AN18+AN20)))</f>
        <v/>
      </c>
      <c r="AO19" s="15">
        <f>IF(Mask!AO19=1,0,IF(p_reset=1,p_U*$A19,0.25*(AP19+AN19+AO18+AO20)))</f>
        <v/>
      </c>
      <c r="AP19" s="15">
        <f>IF(p_reset=1,p_U*$A19,AO19)</f>
        <v/>
      </c>
    </row>
    <row r="20">
      <c r="A20" s="7">
        <f>A19-p_h</f>
        <v/>
      </c>
      <c r="B20" s="15">
        <f>p_U*$A20</f>
        <v/>
      </c>
      <c r="C20" s="15">
        <f>IF(Mask!C20=1,0,IF(p_reset=1,p_U*$A20,0.25*(D20+B20+C19+C21)))</f>
        <v/>
      </c>
      <c r="D20" s="15">
        <f>IF(Mask!D20=1,0,IF(p_reset=1,p_U*$A20,0.25*(E20+C20+D19+D21)))</f>
        <v/>
      </c>
      <c r="E20" s="15">
        <f>IF(Mask!E20=1,0,IF(p_reset=1,p_U*$A20,0.25*(F20+D20+E19+E21)))</f>
        <v/>
      </c>
      <c r="F20" s="15">
        <f>IF(Mask!F20=1,0,IF(p_reset=1,p_U*$A20,0.25*(G20+E20+F19+F21)))</f>
        <v/>
      </c>
      <c r="G20" s="15">
        <f>IF(Mask!G20=1,0,IF(p_reset=1,p_U*$A20,0.25*(H20+F20+G19+G21)))</f>
        <v/>
      </c>
      <c r="H20" s="15">
        <f>IF(Mask!H20=1,0,IF(p_reset=1,p_U*$A20,0.25*(I20+G20+H19+H21)))</f>
        <v/>
      </c>
      <c r="I20" s="15">
        <f>IF(Mask!I20=1,0,IF(p_reset=1,p_U*$A20,0.25*(J20+H20+I19+I21)))</f>
        <v/>
      </c>
      <c r="J20" s="15">
        <f>IF(Mask!J20=1,0,IF(p_reset=1,p_U*$A20,0.25*(K20+I20+J19+J21)))</f>
        <v/>
      </c>
      <c r="K20" s="15">
        <f>IF(Mask!K20=1,0,IF(p_reset=1,p_U*$A20,0.25*(L20+J20+K19+K21)))</f>
        <v/>
      </c>
      <c r="L20" s="15">
        <f>IF(Mask!L20=1,0,IF(p_reset=1,p_U*$A20,0.25*(M20+K20+L19+L21)))</f>
        <v/>
      </c>
      <c r="M20" s="15">
        <f>IF(Mask!M20=1,0,IF(p_reset=1,p_U*$A20,0.25*(N20+L20+M19+M21)))</f>
        <v/>
      </c>
      <c r="N20" s="15">
        <f>IF(Mask!N20=1,0,IF(p_reset=1,p_U*$A20,0.25*(O20+M20+N19+N21)))</f>
        <v/>
      </c>
      <c r="O20" s="15">
        <f>IF(Mask!O20=1,0,IF(p_reset=1,p_U*$A20,0.25*(P20+N20+O19+O21)))</f>
        <v/>
      </c>
      <c r="P20" s="15">
        <f>IF(Mask!P20=1,0,IF(p_reset=1,p_U*$A20,0.25*(Q20+O20+P19+P21)))</f>
        <v/>
      </c>
      <c r="Q20" s="15">
        <f>IF(Mask!Q20=1,0,IF(p_reset=1,p_U*$A20,0.25*(R20+P20+Q19+Q21)))</f>
        <v/>
      </c>
      <c r="R20" s="15">
        <f>IF(Mask!R20=1,0,IF(p_reset=1,p_U*$A20,0.25*(S20+Q20+R19+R21)))</f>
        <v/>
      </c>
      <c r="S20" s="15">
        <f>IF(Mask!S20=1,0,IF(p_reset=1,p_U*$A20,0.25*(T20+R20+S19+S21)))</f>
        <v/>
      </c>
      <c r="T20" s="15">
        <f>IF(Mask!T20=1,0,IF(p_reset=1,p_U*$A20,0.25*(U20+S20+T19+T21)))</f>
        <v/>
      </c>
      <c r="U20" s="15">
        <f>IF(Mask!U20=1,0,IF(p_reset=1,p_U*$A20,0.25*(V20+T20+U19+U21)))</f>
        <v/>
      </c>
      <c r="V20" s="15">
        <f>IF(Mask!V20=1,0,IF(p_reset=1,p_U*$A20,0.25*(W20+U20+V19+V21)))</f>
        <v/>
      </c>
      <c r="W20" s="15">
        <f>IF(Mask!W20=1,0,IF(p_reset=1,p_U*$A20,0.25*(X20+V20+W19+W21)))</f>
        <v/>
      </c>
      <c r="X20" s="15">
        <f>IF(Mask!X20=1,0,IF(p_reset=1,p_U*$A20,0.25*(Y20+W20+X19+X21)))</f>
        <v/>
      </c>
      <c r="Y20" s="15">
        <f>IF(Mask!Y20=1,0,IF(p_reset=1,p_U*$A20,0.25*(Z20+X20+Y19+Y21)))</f>
        <v/>
      </c>
      <c r="Z20" s="15">
        <f>IF(Mask!Z20=1,0,IF(p_reset=1,p_U*$A20,0.25*(AA20+Y20+Z19+Z21)))</f>
        <v/>
      </c>
      <c r="AA20" s="15">
        <f>IF(Mask!AA20=1,0,IF(p_reset=1,p_U*$A20,0.25*(AB20+Z20+AA19+AA21)))</f>
        <v/>
      </c>
      <c r="AB20" s="15">
        <f>IF(Mask!AB20=1,0,IF(p_reset=1,p_U*$A20,0.25*(AC20+AA20+AB19+AB21)))</f>
        <v/>
      </c>
      <c r="AC20" s="15">
        <f>IF(Mask!AC20=1,0,IF(p_reset=1,p_U*$A20,0.25*(AD20+AB20+AC19+AC21)))</f>
        <v/>
      </c>
      <c r="AD20" s="15">
        <f>IF(Mask!AD20=1,0,IF(p_reset=1,p_U*$A20,0.25*(AE20+AC20+AD19+AD21)))</f>
        <v/>
      </c>
      <c r="AE20" s="15">
        <f>IF(Mask!AE20=1,0,IF(p_reset=1,p_U*$A20,0.25*(AF20+AD20+AE19+AE21)))</f>
        <v/>
      </c>
      <c r="AF20" s="15">
        <f>IF(Mask!AF20=1,0,IF(p_reset=1,p_U*$A20,0.25*(AG20+AE20+AF19+AF21)))</f>
        <v/>
      </c>
      <c r="AG20" s="15">
        <f>IF(Mask!AG20=1,0,IF(p_reset=1,p_U*$A20,0.25*(AH20+AF20+AG19+AG21)))</f>
        <v/>
      </c>
      <c r="AH20" s="15">
        <f>IF(Mask!AH20=1,0,IF(p_reset=1,p_U*$A20,0.25*(AI20+AG20+AH19+AH21)))</f>
        <v/>
      </c>
      <c r="AI20" s="15">
        <f>IF(Mask!AI20=1,0,IF(p_reset=1,p_U*$A20,0.25*(AJ20+AH20+AI19+AI21)))</f>
        <v/>
      </c>
      <c r="AJ20" s="15">
        <f>IF(Mask!AJ20=1,0,IF(p_reset=1,p_U*$A20,0.25*(AK20+AI20+AJ19+AJ21)))</f>
        <v/>
      </c>
      <c r="AK20" s="15">
        <f>IF(Mask!AK20=1,0,IF(p_reset=1,p_U*$A20,0.25*(AL20+AJ20+AK19+AK21)))</f>
        <v/>
      </c>
      <c r="AL20" s="15">
        <f>IF(Mask!AL20=1,0,IF(p_reset=1,p_U*$A20,0.25*(AM20+AK20+AL19+AL21)))</f>
        <v/>
      </c>
      <c r="AM20" s="15">
        <f>IF(Mask!AM20=1,0,IF(p_reset=1,p_U*$A20,0.25*(AN20+AL20+AM19+AM21)))</f>
        <v/>
      </c>
      <c r="AN20" s="15">
        <f>IF(Mask!AN20=1,0,IF(p_reset=1,p_U*$A20,0.25*(AO20+AM20+AN19+AN21)))</f>
        <v/>
      </c>
      <c r="AO20" s="15">
        <f>IF(Mask!AO20=1,0,IF(p_reset=1,p_U*$A20,0.25*(AP20+AN20+AO19+AO21)))</f>
        <v/>
      </c>
      <c r="AP20" s="15">
        <f>IF(p_reset=1,p_U*$A20,AO20)</f>
        <v/>
      </c>
    </row>
    <row r="21">
      <c r="A21" s="7">
        <f>A20-p_h</f>
        <v/>
      </c>
      <c r="B21" s="15">
        <f>p_U*$A21</f>
        <v/>
      </c>
      <c r="C21" s="15">
        <f>IF(Mask!C21=1,0,IF(p_reset=1,p_U*$A21,0.25*(D21+B21+C20+C22)))</f>
        <v/>
      </c>
      <c r="D21" s="15">
        <f>IF(Mask!D21=1,0,IF(p_reset=1,p_U*$A21,0.25*(E21+C21+D20+D22)))</f>
        <v/>
      </c>
      <c r="E21" s="15">
        <f>IF(Mask!E21=1,0,IF(p_reset=1,p_U*$A21,0.25*(F21+D21+E20+E22)))</f>
        <v/>
      </c>
      <c r="F21" s="15">
        <f>IF(Mask!F21=1,0,IF(p_reset=1,p_U*$A21,0.25*(G21+E21+F20+F22)))</f>
        <v/>
      </c>
      <c r="G21" s="15">
        <f>IF(Mask!G21=1,0,IF(p_reset=1,p_U*$A21,0.25*(H21+F21+G20+G22)))</f>
        <v/>
      </c>
      <c r="H21" s="15">
        <f>IF(Mask!H21=1,0,IF(p_reset=1,p_U*$A21,0.25*(I21+G21+H20+H22)))</f>
        <v/>
      </c>
      <c r="I21" s="15">
        <f>IF(Mask!I21=1,0,IF(p_reset=1,p_U*$A21,0.25*(J21+H21+I20+I22)))</f>
        <v/>
      </c>
      <c r="J21" s="15">
        <f>IF(Mask!J21=1,0,IF(p_reset=1,p_U*$A21,0.25*(K21+I21+J20+J22)))</f>
        <v/>
      </c>
      <c r="K21" s="15">
        <f>IF(Mask!K21=1,0,IF(p_reset=1,p_U*$A21,0.25*(L21+J21+K20+K22)))</f>
        <v/>
      </c>
      <c r="L21" s="15">
        <f>IF(Mask!L21=1,0,IF(p_reset=1,p_U*$A21,0.25*(M21+K21+L20+L22)))</f>
        <v/>
      </c>
      <c r="M21" s="15">
        <f>IF(Mask!M21=1,0,IF(p_reset=1,p_U*$A21,0.25*(N21+L21+M20+M22)))</f>
        <v/>
      </c>
      <c r="N21" s="15">
        <f>IF(Mask!N21=1,0,IF(p_reset=1,p_U*$A21,0.25*(O21+M21+N20+N22)))</f>
        <v/>
      </c>
      <c r="O21" s="15">
        <f>IF(Mask!O21=1,0,IF(p_reset=1,p_U*$A21,0.25*(P21+N21+O20+O22)))</f>
        <v/>
      </c>
      <c r="P21" s="15">
        <f>IF(Mask!P21=1,0,IF(p_reset=1,p_U*$A21,0.25*(Q21+O21+P20+P22)))</f>
        <v/>
      </c>
      <c r="Q21" s="15">
        <f>IF(Mask!Q21=1,0,IF(p_reset=1,p_U*$A21,0.25*(R21+P21+Q20+Q22)))</f>
        <v/>
      </c>
      <c r="R21" s="15">
        <f>IF(Mask!R21=1,0,IF(p_reset=1,p_U*$A21,0.25*(S21+Q21+R20+R22)))</f>
        <v/>
      </c>
      <c r="S21" s="15">
        <f>IF(Mask!S21=1,0,IF(p_reset=1,p_U*$A21,0.25*(T21+R21+S20+S22)))</f>
        <v/>
      </c>
      <c r="T21" s="15">
        <f>IF(Mask!T21=1,0,IF(p_reset=1,p_U*$A21,0.25*(U21+S21+T20+T22)))</f>
        <v/>
      </c>
      <c r="U21" s="15">
        <f>IF(Mask!U21=1,0,IF(p_reset=1,p_U*$A21,0.25*(V21+T21+U20+U22)))</f>
        <v/>
      </c>
      <c r="V21" s="15">
        <f>IF(Mask!V21=1,0,IF(p_reset=1,p_U*$A21,0.25*(W21+U21+V20+V22)))</f>
        <v/>
      </c>
      <c r="W21" s="15">
        <f>IF(Mask!W21=1,0,IF(p_reset=1,p_U*$A21,0.25*(X21+V21+W20+W22)))</f>
        <v/>
      </c>
      <c r="X21" s="15">
        <f>IF(Mask!X21=1,0,IF(p_reset=1,p_U*$A21,0.25*(Y21+W21+X20+X22)))</f>
        <v/>
      </c>
      <c r="Y21" s="15">
        <f>IF(Mask!Y21=1,0,IF(p_reset=1,p_U*$A21,0.25*(Z21+X21+Y20+Y22)))</f>
        <v/>
      </c>
      <c r="Z21" s="15">
        <f>IF(Mask!Z21=1,0,IF(p_reset=1,p_U*$A21,0.25*(AA21+Y21+Z20+Z22)))</f>
        <v/>
      </c>
      <c r="AA21" s="15">
        <f>IF(Mask!AA21=1,0,IF(p_reset=1,p_U*$A21,0.25*(AB21+Z21+AA20+AA22)))</f>
        <v/>
      </c>
      <c r="AB21" s="15">
        <f>IF(Mask!AB21=1,0,IF(p_reset=1,p_U*$A21,0.25*(AC21+AA21+AB20+AB22)))</f>
        <v/>
      </c>
      <c r="AC21" s="15">
        <f>IF(Mask!AC21=1,0,IF(p_reset=1,p_U*$A21,0.25*(AD21+AB21+AC20+AC22)))</f>
        <v/>
      </c>
      <c r="AD21" s="15">
        <f>IF(Mask!AD21=1,0,IF(p_reset=1,p_U*$A21,0.25*(AE21+AC21+AD20+AD22)))</f>
        <v/>
      </c>
      <c r="AE21" s="15">
        <f>IF(Mask!AE21=1,0,IF(p_reset=1,p_U*$A21,0.25*(AF21+AD21+AE20+AE22)))</f>
        <v/>
      </c>
      <c r="AF21" s="15">
        <f>IF(Mask!AF21=1,0,IF(p_reset=1,p_U*$A21,0.25*(AG21+AE21+AF20+AF22)))</f>
        <v/>
      </c>
      <c r="AG21" s="15">
        <f>IF(Mask!AG21=1,0,IF(p_reset=1,p_U*$A21,0.25*(AH21+AF21+AG20+AG22)))</f>
        <v/>
      </c>
      <c r="AH21" s="15">
        <f>IF(Mask!AH21=1,0,IF(p_reset=1,p_U*$A21,0.25*(AI21+AG21+AH20+AH22)))</f>
        <v/>
      </c>
      <c r="AI21" s="15">
        <f>IF(Mask!AI21=1,0,IF(p_reset=1,p_U*$A21,0.25*(AJ21+AH21+AI20+AI22)))</f>
        <v/>
      </c>
      <c r="AJ21" s="15">
        <f>IF(Mask!AJ21=1,0,IF(p_reset=1,p_U*$A21,0.25*(AK21+AI21+AJ20+AJ22)))</f>
        <v/>
      </c>
      <c r="AK21" s="15">
        <f>IF(Mask!AK21=1,0,IF(p_reset=1,p_U*$A21,0.25*(AL21+AJ21+AK20+AK22)))</f>
        <v/>
      </c>
      <c r="AL21" s="15">
        <f>IF(Mask!AL21=1,0,IF(p_reset=1,p_U*$A21,0.25*(AM21+AK21+AL20+AL22)))</f>
        <v/>
      </c>
      <c r="AM21" s="15">
        <f>IF(Mask!AM21=1,0,IF(p_reset=1,p_U*$A21,0.25*(AN21+AL21+AM20+AM22)))</f>
        <v/>
      </c>
      <c r="AN21" s="15">
        <f>IF(Mask!AN21=1,0,IF(p_reset=1,p_U*$A21,0.25*(AO21+AM21+AN20+AN22)))</f>
        <v/>
      </c>
      <c r="AO21" s="15">
        <f>IF(Mask!AO21=1,0,IF(p_reset=1,p_U*$A21,0.25*(AP21+AN21+AO20+AO22)))</f>
        <v/>
      </c>
      <c r="AP21" s="15">
        <f>IF(p_reset=1,p_U*$A21,AO21)</f>
        <v/>
      </c>
    </row>
    <row r="22">
      <c r="A22" s="7">
        <f>A21-p_h</f>
        <v/>
      </c>
      <c r="B22" s="15">
        <f>p_U*$A22</f>
        <v/>
      </c>
      <c r="C22" s="15">
        <f>IF(Mask!C22=1,0,IF(p_reset=1,p_U*$A22,0.25*(D22+B22+C21+C23)))</f>
        <v/>
      </c>
      <c r="D22" s="15">
        <f>IF(Mask!D22=1,0,IF(p_reset=1,p_U*$A22,0.25*(E22+C22+D21+D23)))</f>
        <v/>
      </c>
      <c r="E22" s="15">
        <f>IF(Mask!E22=1,0,IF(p_reset=1,p_U*$A22,0.25*(F22+D22+E21+E23)))</f>
        <v/>
      </c>
      <c r="F22" s="15">
        <f>IF(Mask!F22=1,0,IF(p_reset=1,p_U*$A22,0.25*(G22+E22+F21+F23)))</f>
        <v/>
      </c>
      <c r="G22" s="15">
        <f>IF(Mask!G22=1,0,IF(p_reset=1,p_U*$A22,0.25*(H22+F22+G21+G23)))</f>
        <v/>
      </c>
      <c r="H22" s="15">
        <f>IF(Mask!H22=1,0,IF(p_reset=1,p_U*$A22,0.25*(I22+G22+H21+H23)))</f>
        <v/>
      </c>
      <c r="I22" s="15">
        <f>IF(Mask!I22=1,0,IF(p_reset=1,p_U*$A22,0.25*(J22+H22+I21+I23)))</f>
        <v/>
      </c>
      <c r="J22" s="15">
        <f>IF(Mask!J22=1,0,IF(p_reset=1,p_U*$A22,0.25*(K22+I22+J21+J23)))</f>
        <v/>
      </c>
      <c r="K22" s="15">
        <f>IF(Mask!K22=1,0,IF(p_reset=1,p_U*$A22,0.25*(L22+J22+K21+K23)))</f>
        <v/>
      </c>
      <c r="L22" s="15">
        <f>IF(Mask!L22=1,0,IF(p_reset=1,p_U*$A22,0.25*(M22+K22+L21+L23)))</f>
        <v/>
      </c>
      <c r="M22" s="15">
        <f>IF(Mask!M22=1,0,IF(p_reset=1,p_U*$A22,0.25*(N22+L22+M21+M23)))</f>
        <v/>
      </c>
      <c r="N22" s="15">
        <f>IF(Mask!N22=1,0,IF(p_reset=1,p_U*$A22,0.25*(O22+M22+N21+N23)))</f>
        <v/>
      </c>
      <c r="O22" s="15">
        <f>IF(Mask!O22=1,0,IF(p_reset=1,p_U*$A22,0.25*(P22+N22+O21+O23)))</f>
        <v/>
      </c>
      <c r="P22" s="15">
        <f>IF(Mask!P22=1,0,IF(p_reset=1,p_U*$A22,0.25*(Q22+O22+P21+P23)))</f>
        <v/>
      </c>
      <c r="Q22" s="15">
        <f>IF(Mask!Q22=1,0,IF(p_reset=1,p_U*$A22,0.25*(R22+P22+Q21+Q23)))</f>
        <v/>
      </c>
      <c r="R22" s="15">
        <f>IF(Mask!R22=1,0,IF(p_reset=1,p_U*$A22,0.25*(S22+Q22+R21+R23)))</f>
        <v/>
      </c>
      <c r="S22" s="15">
        <f>IF(Mask!S22=1,0,IF(p_reset=1,p_U*$A22,0.25*(T22+R22+S21+S23)))</f>
        <v/>
      </c>
      <c r="T22" s="15">
        <f>IF(Mask!T22=1,0,IF(p_reset=1,p_U*$A22,0.25*(U22+S22+T21+T23)))</f>
        <v/>
      </c>
      <c r="U22" s="15">
        <f>IF(Mask!U22=1,0,IF(p_reset=1,p_U*$A22,0.25*(V22+T22+U21+U23)))</f>
        <v/>
      </c>
      <c r="V22" s="15">
        <f>IF(Mask!V22=1,0,IF(p_reset=1,p_U*$A22,0.25*(W22+U22+V21+V23)))</f>
        <v/>
      </c>
      <c r="W22" s="15">
        <f>IF(Mask!W22=1,0,IF(p_reset=1,p_U*$A22,0.25*(X22+V22+W21+W23)))</f>
        <v/>
      </c>
      <c r="X22" s="15">
        <f>IF(Mask!X22=1,0,IF(p_reset=1,p_U*$A22,0.25*(Y22+W22+X21+X23)))</f>
        <v/>
      </c>
      <c r="Y22" s="15">
        <f>IF(Mask!Y22=1,0,IF(p_reset=1,p_U*$A22,0.25*(Z22+X22+Y21+Y23)))</f>
        <v/>
      </c>
      <c r="Z22" s="15">
        <f>IF(Mask!Z22=1,0,IF(p_reset=1,p_U*$A22,0.25*(AA22+Y22+Z21+Z23)))</f>
        <v/>
      </c>
      <c r="AA22" s="15">
        <f>IF(Mask!AA22=1,0,IF(p_reset=1,p_U*$A22,0.25*(AB22+Z22+AA21+AA23)))</f>
        <v/>
      </c>
      <c r="AB22" s="15">
        <f>IF(Mask!AB22=1,0,IF(p_reset=1,p_U*$A22,0.25*(AC22+AA22+AB21+AB23)))</f>
        <v/>
      </c>
      <c r="AC22" s="15">
        <f>IF(Mask!AC22=1,0,IF(p_reset=1,p_U*$A22,0.25*(AD22+AB22+AC21+AC23)))</f>
        <v/>
      </c>
      <c r="AD22" s="15">
        <f>IF(Mask!AD22=1,0,IF(p_reset=1,p_U*$A22,0.25*(AE22+AC22+AD21+AD23)))</f>
        <v/>
      </c>
      <c r="AE22" s="15">
        <f>IF(Mask!AE22=1,0,IF(p_reset=1,p_U*$A22,0.25*(AF22+AD22+AE21+AE23)))</f>
        <v/>
      </c>
      <c r="AF22" s="15">
        <f>IF(Mask!AF22=1,0,IF(p_reset=1,p_U*$A22,0.25*(AG22+AE22+AF21+AF23)))</f>
        <v/>
      </c>
      <c r="AG22" s="15">
        <f>IF(Mask!AG22=1,0,IF(p_reset=1,p_U*$A22,0.25*(AH22+AF22+AG21+AG23)))</f>
        <v/>
      </c>
      <c r="AH22" s="15">
        <f>IF(Mask!AH22=1,0,IF(p_reset=1,p_U*$A22,0.25*(AI22+AG22+AH21+AH23)))</f>
        <v/>
      </c>
      <c r="AI22" s="15">
        <f>IF(Mask!AI22=1,0,IF(p_reset=1,p_U*$A22,0.25*(AJ22+AH22+AI21+AI23)))</f>
        <v/>
      </c>
      <c r="AJ22" s="15">
        <f>IF(Mask!AJ22=1,0,IF(p_reset=1,p_U*$A22,0.25*(AK22+AI22+AJ21+AJ23)))</f>
        <v/>
      </c>
      <c r="AK22" s="15">
        <f>IF(Mask!AK22=1,0,IF(p_reset=1,p_U*$A22,0.25*(AL22+AJ22+AK21+AK23)))</f>
        <v/>
      </c>
      <c r="AL22" s="15">
        <f>IF(Mask!AL22=1,0,IF(p_reset=1,p_U*$A22,0.25*(AM22+AK22+AL21+AL23)))</f>
        <v/>
      </c>
      <c r="AM22" s="15">
        <f>IF(Mask!AM22=1,0,IF(p_reset=1,p_U*$A22,0.25*(AN22+AL22+AM21+AM23)))</f>
        <v/>
      </c>
      <c r="AN22" s="15">
        <f>IF(Mask!AN22=1,0,IF(p_reset=1,p_U*$A22,0.25*(AO22+AM22+AN21+AN23)))</f>
        <v/>
      </c>
      <c r="AO22" s="15">
        <f>IF(Mask!AO22=1,0,IF(p_reset=1,p_U*$A22,0.25*(AP22+AN22+AO21+AO23)))</f>
        <v/>
      </c>
      <c r="AP22" s="15">
        <f>IF(p_reset=1,p_U*$A22,AO22)</f>
        <v/>
      </c>
    </row>
    <row r="23">
      <c r="A23" s="7">
        <f>A22-p_h</f>
        <v/>
      </c>
      <c r="B23" s="15" t="n">
        <v>0</v>
      </c>
      <c r="C23" s="15" t="n">
        <v>0</v>
      </c>
      <c r="D23" s="15" t="n">
        <v>0</v>
      </c>
      <c r="E23" s="15" t="n">
        <v>0</v>
      </c>
      <c r="F23" s="15" t="n">
        <v>0</v>
      </c>
      <c r="G23" s="15" t="n">
        <v>0</v>
      </c>
      <c r="H23" s="15" t="n">
        <v>0</v>
      </c>
      <c r="I23" s="15" t="n">
        <v>0</v>
      </c>
      <c r="J23" s="15" t="n">
        <v>0</v>
      </c>
      <c r="K23" s="15" t="n">
        <v>0</v>
      </c>
      <c r="L23" s="15" t="n">
        <v>0</v>
      </c>
      <c r="M23" s="15" t="n">
        <v>0</v>
      </c>
      <c r="N23" s="15" t="n">
        <v>0</v>
      </c>
      <c r="O23" s="15" t="n">
        <v>0</v>
      </c>
      <c r="P23" s="15" t="n">
        <v>0</v>
      </c>
      <c r="Q23" s="15" t="n">
        <v>0</v>
      </c>
      <c r="R23" s="15" t="n">
        <v>0</v>
      </c>
      <c r="S23" s="15" t="n">
        <v>0</v>
      </c>
      <c r="T23" s="15" t="n">
        <v>0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0</v>
      </c>
      <c r="Z23" s="15" t="n">
        <v>0</v>
      </c>
      <c r="AA23" s="15" t="n">
        <v>0</v>
      </c>
      <c r="AB23" s="15" t="n">
        <v>0</v>
      </c>
      <c r="AC23" s="15" t="n">
        <v>0</v>
      </c>
      <c r="AD23" s="15" t="n">
        <v>0</v>
      </c>
      <c r="AE23" s="15" t="n">
        <v>0</v>
      </c>
      <c r="AF23" s="15" t="n">
        <v>0</v>
      </c>
      <c r="AG23" s="15" t="n">
        <v>0</v>
      </c>
      <c r="AH23" s="15" t="n">
        <v>0</v>
      </c>
      <c r="AI23" s="15" t="n">
        <v>0</v>
      </c>
      <c r="AJ23" s="15" t="n">
        <v>0</v>
      </c>
      <c r="AK23" s="15" t="n">
        <v>0</v>
      </c>
      <c r="AL23" s="15" t="n">
        <v>0</v>
      </c>
      <c r="AM23" s="15" t="n">
        <v>0</v>
      </c>
      <c r="AN23" s="15" t="n">
        <v>0</v>
      </c>
      <c r="AO23" s="15" t="n">
        <v>0</v>
      </c>
      <c r="AP23" s="15" t="n">
        <v>0</v>
      </c>
    </row>
  </sheetData>
  <conditionalFormatting sqref="B3:AP23">
    <cfRule type="expression" priority="1" dxfId="0">
      <formula>MOD(B3/p_dpsi,1)&lt;0.12</formula>
    </cfRule>
    <cfRule type="colorScale" priority="2">
      <colorScale>
        <cfvo type="min"/>
        <cfvo type="percentile" val="50"/>
        <cfvo type="max"/>
        <color rgb="002C7BB6"/>
        <color rgb="00FFFFBF"/>
        <color rgb="00D7191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</cols>
  <sheetData>
    <row r="1">
      <c r="A1" s="4" t="inlineStr">
        <is>
          <t>Horizontal velocity u [m/s]</t>
        </is>
      </c>
    </row>
    <row r="2">
      <c r="A2" s="5" t="inlineStr">
        <is>
          <t>y \ x</t>
        </is>
      </c>
      <c r="B2" s="6" t="n">
        <v>0</v>
      </c>
      <c r="C2" s="6">
        <f>B2+p_h</f>
        <v/>
      </c>
      <c r="D2" s="6">
        <f>C2+p_h</f>
        <v/>
      </c>
      <c r="E2" s="6">
        <f>D2+p_h</f>
        <v/>
      </c>
      <c r="F2" s="6">
        <f>E2+p_h</f>
        <v/>
      </c>
      <c r="G2" s="6">
        <f>F2+p_h</f>
        <v/>
      </c>
      <c r="H2" s="6">
        <f>G2+p_h</f>
        <v/>
      </c>
      <c r="I2" s="6">
        <f>H2+p_h</f>
        <v/>
      </c>
      <c r="J2" s="6">
        <f>I2+p_h</f>
        <v/>
      </c>
      <c r="K2" s="6">
        <f>J2+p_h</f>
        <v/>
      </c>
      <c r="L2" s="6">
        <f>K2+p_h</f>
        <v/>
      </c>
      <c r="M2" s="6">
        <f>L2+p_h</f>
        <v/>
      </c>
      <c r="N2" s="6">
        <f>M2+p_h</f>
        <v/>
      </c>
      <c r="O2" s="6">
        <f>N2+p_h</f>
        <v/>
      </c>
      <c r="P2" s="6">
        <f>O2+p_h</f>
        <v/>
      </c>
      <c r="Q2" s="6">
        <f>P2+p_h</f>
        <v/>
      </c>
      <c r="R2" s="6">
        <f>Q2+p_h</f>
        <v/>
      </c>
      <c r="S2" s="6">
        <f>R2+p_h</f>
        <v/>
      </c>
      <c r="T2" s="6">
        <f>S2+p_h</f>
        <v/>
      </c>
      <c r="U2" s="6">
        <f>T2+p_h</f>
        <v/>
      </c>
      <c r="V2" s="6">
        <f>U2+p_h</f>
        <v/>
      </c>
      <c r="W2" s="6">
        <f>V2+p_h</f>
        <v/>
      </c>
      <c r="X2" s="6">
        <f>W2+p_h</f>
        <v/>
      </c>
      <c r="Y2" s="6">
        <f>X2+p_h</f>
        <v/>
      </c>
      <c r="Z2" s="6">
        <f>Y2+p_h</f>
        <v/>
      </c>
      <c r="AA2" s="6">
        <f>Z2+p_h</f>
        <v/>
      </c>
      <c r="AB2" s="6">
        <f>AA2+p_h</f>
        <v/>
      </c>
      <c r="AC2" s="6">
        <f>AB2+p_h</f>
        <v/>
      </c>
      <c r="AD2" s="6">
        <f>AC2+p_h</f>
        <v/>
      </c>
      <c r="AE2" s="6">
        <f>AD2+p_h</f>
        <v/>
      </c>
      <c r="AF2" s="6">
        <f>AE2+p_h</f>
        <v/>
      </c>
      <c r="AG2" s="6">
        <f>AF2+p_h</f>
        <v/>
      </c>
      <c r="AH2" s="6">
        <f>AG2+p_h</f>
        <v/>
      </c>
      <c r="AI2" s="6">
        <f>AH2+p_h</f>
        <v/>
      </c>
      <c r="AJ2" s="6">
        <f>AI2+p_h</f>
        <v/>
      </c>
      <c r="AK2" s="6">
        <f>AJ2+p_h</f>
        <v/>
      </c>
      <c r="AL2" s="6">
        <f>AK2+p_h</f>
        <v/>
      </c>
      <c r="AM2" s="6">
        <f>AL2+p_h</f>
        <v/>
      </c>
      <c r="AN2" s="6">
        <f>AM2+p_h</f>
        <v/>
      </c>
      <c r="AO2" s="6">
        <f>AN2+p_h</f>
        <v/>
      </c>
      <c r="AP2" s="6">
        <f>AO2+p_h</f>
        <v/>
      </c>
    </row>
    <row r="3">
      <c r="A3" s="7">
        <f>20*p_h</f>
        <v/>
      </c>
      <c r="B3" s="16">
        <f>IF(Mask!B3=1,0,(Psi!B3-Psi!B4)/p_h)</f>
        <v/>
      </c>
      <c r="C3" s="16">
        <f>IF(Mask!C3=1,0,(Psi!C3-Psi!C4)/p_h)</f>
        <v/>
      </c>
      <c r="D3" s="16">
        <f>IF(Mask!D3=1,0,(Psi!D3-Psi!D4)/p_h)</f>
        <v/>
      </c>
      <c r="E3" s="16">
        <f>IF(Mask!E3=1,0,(Psi!E3-Psi!E4)/p_h)</f>
        <v/>
      </c>
      <c r="F3" s="16">
        <f>IF(Mask!F3=1,0,(Psi!F3-Psi!F4)/p_h)</f>
        <v/>
      </c>
      <c r="G3" s="16">
        <f>IF(Mask!G3=1,0,(Psi!G3-Psi!G4)/p_h)</f>
        <v/>
      </c>
      <c r="H3" s="16">
        <f>IF(Mask!H3=1,0,(Psi!H3-Psi!H4)/p_h)</f>
        <v/>
      </c>
      <c r="I3" s="16">
        <f>IF(Mask!I3=1,0,(Psi!I3-Psi!I4)/p_h)</f>
        <v/>
      </c>
      <c r="J3" s="16">
        <f>IF(Mask!J3=1,0,(Psi!J3-Psi!J4)/p_h)</f>
        <v/>
      </c>
      <c r="K3" s="16">
        <f>IF(Mask!K3=1,0,(Psi!K3-Psi!K4)/p_h)</f>
        <v/>
      </c>
      <c r="L3" s="16">
        <f>IF(Mask!L3=1,0,(Psi!L3-Psi!L4)/p_h)</f>
        <v/>
      </c>
      <c r="M3" s="16">
        <f>IF(Mask!M3=1,0,(Psi!M3-Psi!M4)/p_h)</f>
        <v/>
      </c>
      <c r="N3" s="16">
        <f>IF(Mask!N3=1,0,(Psi!N3-Psi!N4)/p_h)</f>
        <v/>
      </c>
      <c r="O3" s="16">
        <f>IF(Mask!O3=1,0,(Psi!O3-Psi!O4)/p_h)</f>
        <v/>
      </c>
      <c r="P3" s="16">
        <f>IF(Mask!P3=1,0,(Psi!P3-Psi!P4)/p_h)</f>
        <v/>
      </c>
      <c r="Q3" s="16">
        <f>IF(Mask!Q3=1,0,(Psi!Q3-Psi!Q4)/p_h)</f>
        <v/>
      </c>
      <c r="R3" s="16">
        <f>IF(Mask!R3=1,0,(Psi!R3-Psi!R4)/p_h)</f>
        <v/>
      </c>
      <c r="S3" s="16">
        <f>IF(Mask!S3=1,0,(Psi!S3-Psi!S4)/p_h)</f>
        <v/>
      </c>
      <c r="T3" s="16">
        <f>IF(Mask!T3=1,0,(Psi!T3-Psi!T4)/p_h)</f>
        <v/>
      </c>
      <c r="U3" s="16">
        <f>IF(Mask!U3=1,0,(Psi!U3-Psi!U4)/p_h)</f>
        <v/>
      </c>
      <c r="V3" s="16">
        <f>IF(Mask!V3=1,0,(Psi!V3-Psi!V4)/p_h)</f>
        <v/>
      </c>
      <c r="W3" s="16">
        <f>IF(Mask!W3=1,0,(Psi!W3-Psi!W4)/p_h)</f>
        <v/>
      </c>
      <c r="X3" s="16">
        <f>IF(Mask!X3=1,0,(Psi!X3-Psi!X4)/p_h)</f>
        <v/>
      </c>
      <c r="Y3" s="16">
        <f>IF(Mask!Y3=1,0,(Psi!Y3-Psi!Y4)/p_h)</f>
        <v/>
      </c>
      <c r="Z3" s="16">
        <f>IF(Mask!Z3=1,0,(Psi!Z3-Psi!Z4)/p_h)</f>
        <v/>
      </c>
      <c r="AA3" s="16">
        <f>IF(Mask!AA3=1,0,(Psi!AA3-Psi!AA4)/p_h)</f>
        <v/>
      </c>
      <c r="AB3" s="16">
        <f>IF(Mask!AB3=1,0,(Psi!AB3-Psi!AB4)/p_h)</f>
        <v/>
      </c>
      <c r="AC3" s="16">
        <f>IF(Mask!AC3=1,0,(Psi!AC3-Psi!AC4)/p_h)</f>
        <v/>
      </c>
      <c r="AD3" s="16">
        <f>IF(Mask!AD3=1,0,(Psi!AD3-Psi!AD4)/p_h)</f>
        <v/>
      </c>
      <c r="AE3" s="16">
        <f>IF(Mask!AE3=1,0,(Psi!AE3-Psi!AE4)/p_h)</f>
        <v/>
      </c>
      <c r="AF3" s="16">
        <f>IF(Mask!AF3=1,0,(Psi!AF3-Psi!AF4)/p_h)</f>
        <v/>
      </c>
      <c r="AG3" s="16">
        <f>IF(Mask!AG3=1,0,(Psi!AG3-Psi!AG4)/p_h)</f>
        <v/>
      </c>
      <c r="AH3" s="16">
        <f>IF(Mask!AH3=1,0,(Psi!AH3-Psi!AH4)/p_h)</f>
        <v/>
      </c>
      <c r="AI3" s="16">
        <f>IF(Mask!AI3=1,0,(Psi!AI3-Psi!AI4)/p_h)</f>
        <v/>
      </c>
      <c r="AJ3" s="16">
        <f>IF(Mask!AJ3=1,0,(Psi!AJ3-Psi!AJ4)/p_h)</f>
        <v/>
      </c>
      <c r="AK3" s="16">
        <f>IF(Mask!AK3=1,0,(Psi!AK3-Psi!AK4)/p_h)</f>
        <v/>
      </c>
      <c r="AL3" s="16">
        <f>IF(Mask!AL3=1,0,(Psi!AL3-Psi!AL4)/p_h)</f>
        <v/>
      </c>
      <c r="AM3" s="16">
        <f>IF(Mask!AM3=1,0,(Psi!AM3-Psi!AM4)/p_h)</f>
        <v/>
      </c>
      <c r="AN3" s="16">
        <f>IF(Mask!AN3=1,0,(Psi!AN3-Psi!AN4)/p_h)</f>
        <v/>
      </c>
      <c r="AO3" s="16">
        <f>IF(Mask!AO3=1,0,(Psi!AO3-Psi!AO4)/p_h)</f>
        <v/>
      </c>
      <c r="AP3" s="16">
        <f>IF(Mask!AP3=1,0,(Psi!AP3-Psi!AP4)/p_h)</f>
        <v/>
      </c>
    </row>
    <row r="4">
      <c r="A4" s="7">
        <f>A3-p_h</f>
        <v/>
      </c>
      <c r="B4" s="16">
        <f>IF(Mask!B4=1,0,(Psi!B3-Psi!B5)/(2*p_h))</f>
        <v/>
      </c>
      <c r="C4" s="16">
        <f>IF(Mask!C4=1,0,(Psi!C3-Psi!C5)/(2*p_h))</f>
        <v/>
      </c>
      <c r="D4" s="16">
        <f>IF(Mask!D4=1,0,(Psi!D3-Psi!D5)/(2*p_h))</f>
        <v/>
      </c>
      <c r="E4" s="16">
        <f>IF(Mask!E4=1,0,(Psi!E3-Psi!E5)/(2*p_h))</f>
        <v/>
      </c>
      <c r="F4" s="16">
        <f>IF(Mask!F4=1,0,(Psi!F3-Psi!F5)/(2*p_h))</f>
        <v/>
      </c>
      <c r="G4" s="16">
        <f>IF(Mask!G4=1,0,(Psi!G3-Psi!G5)/(2*p_h))</f>
        <v/>
      </c>
      <c r="H4" s="16">
        <f>IF(Mask!H4=1,0,(Psi!H3-Psi!H5)/(2*p_h))</f>
        <v/>
      </c>
      <c r="I4" s="16">
        <f>IF(Mask!I4=1,0,(Psi!I3-Psi!I5)/(2*p_h))</f>
        <v/>
      </c>
      <c r="J4" s="16">
        <f>IF(Mask!J4=1,0,(Psi!J3-Psi!J5)/(2*p_h))</f>
        <v/>
      </c>
      <c r="K4" s="16">
        <f>IF(Mask!K4=1,0,(Psi!K3-Psi!K5)/(2*p_h))</f>
        <v/>
      </c>
      <c r="L4" s="16">
        <f>IF(Mask!L4=1,0,(Psi!L3-Psi!L5)/(2*p_h))</f>
        <v/>
      </c>
      <c r="M4" s="16">
        <f>IF(Mask!M4=1,0,(Psi!M3-Psi!M5)/(2*p_h))</f>
        <v/>
      </c>
      <c r="N4" s="16">
        <f>IF(Mask!N4=1,0,(Psi!N3-Psi!N5)/(2*p_h))</f>
        <v/>
      </c>
      <c r="O4" s="16">
        <f>IF(Mask!O4=1,0,(Psi!O3-Psi!O5)/(2*p_h))</f>
        <v/>
      </c>
      <c r="P4" s="16">
        <f>IF(Mask!P4=1,0,(Psi!P3-Psi!P5)/(2*p_h))</f>
        <v/>
      </c>
      <c r="Q4" s="16">
        <f>IF(Mask!Q4=1,0,(Psi!Q3-Psi!Q5)/(2*p_h))</f>
        <v/>
      </c>
      <c r="R4" s="16">
        <f>IF(Mask!R4=1,0,(Psi!R3-Psi!R5)/(2*p_h))</f>
        <v/>
      </c>
      <c r="S4" s="16">
        <f>IF(Mask!S4=1,0,(Psi!S3-Psi!S5)/(2*p_h))</f>
        <v/>
      </c>
      <c r="T4" s="16">
        <f>IF(Mask!T4=1,0,(Psi!T3-Psi!T5)/(2*p_h))</f>
        <v/>
      </c>
      <c r="U4" s="16">
        <f>IF(Mask!U4=1,0,(Psi!U3-Psi!U5)/(2*p_h))</f>
        <v/>
      </c>
      <c r="V4" s="16">
        <f>IF(Mask!V4=1,0,(Psi!V3-Psi!V5)/(2*p_h))</f>
        <v/>
      </c>
      <c r="W4" s="16">
        <f>IF(Mask!W4=1,0,(Psi!W3-Psi!W5)/(2*p_h))</f>
        <v/>
      </c>
      <c r="X4" s="16">
        <f>IF(Mask!X4=1,0,(Psi!X3-Psi!X5)/(2*p_h))</f>
        <v/>
      </c>
      <c r="Y4" s="16">
        <f>IF(Mask!Y4=1,0,(Psi!Y3-Psi!Y5)/(2*p_h))</f>
        <v/>
      </c>
      <c r="Z4" s="16">
        <f>IF(Mask!Z4=1,0,(Psi!Z3-Psi!Z5)/(2*p_h))</f>
        <v/>
      </c>
      <c r="AA4" s="16">
        <f>IF(Mask!AA4=1,0,(Psi!AA3-Psi!AA5)/(2*p_h))</f>
        <v/>
      </c>
      <c r="AB4" s="16">
        <f>IF(Mask!AB4=1,0,(Psi!AB3-Psi!AB5)/(2*p_h))</f>
        <v/>
      </c>
      <c r="AC4" s="16">
        <f>IF(Mask!AC4=1,0,(Psi!AC3-Psi!AC5)/(2*p_h))</f>
        <v/>
      </c>
      <c r="AD4" s="16">
        <f>IF(Mask!AD4=1,0,(Psi!AD3-Psi!AD5)/(2*p_h))</f>
        <v/>
      </c>
      <c r="AE4" s="16">
        <f>IF(Mask!AE4=1,0,(Psi!AE3-Psi!AE5)/(2*p_h))</f>
        <v/>
      </c>
      <c r="AF4" s="16">
        <f>IF(Mask!AF4=1,0,(Psi!AF3-Psi!AF5)/(2*p_h))</f>
        <v/>
      </c>
      <c r="AG4" s="16">
        <f>IF(Mask!AG4=1,0,(Psi!AG3-Psi!AG5)/(2*p_h))</f>
        <v/>
      </c>
      <c r="AH4" s="16">
        <f>IF(Mask!AH4=1,0,(Psi!AH3-Psi!AH5)/(2*p_h))</f>
        <v/>
      </c>
      <c r="AI4" s="16">
        <f>IF(Mask!AI4=1,0,(Psi!AI3-Psi!AI5)/(2*p_h))</f>
        <v/>
      </c>
      <c r="AJ4" s="16">
        <f>IF(Mask!AJ4=1,0,(Psi!AJ3-Psi!AJ5)/(2*p_h))</f>
        <v/>
      </c>
      <c r="AK4" s="16">
        <f>IF(Mask!AK4=1,0,(Psi!AK3-Psi!AK5)/(2*p_h))</f>
        <v/>
      </c>
      <c r="AL4" s="16">
        <f>IF(Mask!AL4=1,0,(Psi!AL3-Psi!AL5)/(2*p_h))</f>
        <v/>
      </c>
      <c r="AM4" s="16">
        <f>IF(Mask!AM4=1,0,(Psi!AM3-Psi!AM5)/(2*p_h))</f>
        <v/>
      </c>
      <c r="AN4" s="16">
        <f>IF(Mask!AN4=1,0,(Psi!AN3-Psi!AN5)/(2*p_h))</f>
        <v/>
      </c>
      <c r="AO4" s="16">
        <f>IF(Mask!AO4=1,0,(Psi!AO3-Psi!AO5)/(2*p_h))</f>
        <v/>
      </c>
      <c r="AP4" s="16">
        <f>IF(Mask!AP4=1,0,(Psi!AP3-Psi!AP5)/(2*p_h))</f>
        <v/>
      </c>
    </row>
    <row r="5">
      <c r="A5" s="7">
        <f>A4-p_h</f>
        <v/>
      </c>
      <c r="B5" s="16">
        <f>IF(Mask!B5=1,0,(Psi!B4-Psi!B6)/(2*p_h))</f>
        <v/>
      </c>
      <c r="C5" s="16">
        <f>IF(Mask!C5=1,0,(Psi!C4-Psi!C6)/(2*p_h))</f>
        <v/>
      </c>
      <c r="D5" s="16">
        <f>IF(Mask!D5=1,0,(Psi!D4-Psi!D6)/(2*p_h))</f>
        <v/>
      </c>
      <c r="E5" s="16">
        <f>IF(Mask!E5=1,0,(Psi!E4-Psi!E6)/(2*p_h))</f>
        <v/>
      </c>
      <c r="F5" s="16">
        <f>IF(Mask!F5=1,0,(Psi!F4-Psi!F6)/(2*p_h))</f>
        <v/>
      </c>
      <c r="G5" s="16">
        <f>IF(Mask!G5=1,0,(Psi!G4-Psi!G6)/(2*p_h))</f>
        <v/>
      </c>
      <c r="H5" s="16">
        <f>IF(Mask!H5=1,0,(Psi!H4-Psi!H6)/(2*p_h))</f>
        <v/>
      </c>
      <c r="I5" s="16">
        <f>IF(Mask!I5=1,0,(Psi!I4-Psi!I6)/(2*p_h))</f>
        <v/>
      </c>
      <c r="J5" s="16">
        <f>IF(Mask!J5=1,0,(Psi!J4-Psi!J6)/(2*p_h))</f>
        <v/>
      </c>
      <c r="K5" s="16">
        <f>IF(Mask!K5=1,0,(Psi!K4-Psi!K6)/(2*p_h))</f>
        <v/>
      </c>
      <c r="L5" s="16">
        <f>IF(Mask!L5=1,0,(Psi!L4-Psi!L6)/(2*p_h))</f>
        <v/>
      </c>
      <c r="M5" s="16">
        <f>IF(Mask!M5=1,0,(Psi!M4-Psi!M6)/(2*p_h))</f>
        <v/>
      </c>
      <c r="N5" s="16">
        <f>IF(Mask!N5=1,0,(Psi!N4-Psi!N6)/(2*p_h))</f>
        <v/>
      </c>
      <c r="O5" s="16">
        <f>IF(Mask!O5=1,0,(Psi!O4-Psi!O6)/(2*p_h))</f>
        <v/>
      </c>
      <c r="P5" s="16">
        <f>IF(Mask!P5=1,0,(Psi!P4-Psi!P6)/(2*p_h))</f>
        <v/>
      </c>
      <c r="Q5" s="16">
        <f>IF(Mask!Q5=1,0,(Psi!Q4-Psi!Q6)/(2*p_h))</f>
        <v/>
      </c>
      <c r="R5" s="16">
        <f>IF(Mask!R5=1,0,(Psi!R4-Psi!R6)/(2*p_h))</f>
        <v/>
      </c>
      <c r="S5" s="16">
        <f>IF(Mask!S5=1,0,(Psi!S4-Psi!S6)/(2*p_h))</f>
        <v/>
      </c>
      <c r="T5" s="16">
        <f>IF(Mask!T5=1,0,(Psi!T4-Psi!T6)/(2*p_h))</f>
        <v/>
      </c>
      <c r="U5" s="16">
        <f>IF(Mask!U5=1,0,(Psi!U4-Psi!U6)/(2*p_h))</f>
        <v/>
      </c>
      <c r="V5" s="16">
        <f>IF(Mask!V5=1,0,(Psi!V4-Psi!V6)/(2*p_h))</f>
        <v/>
      </c>
      <c r="W5" s="16">
        <f>IF(Mask!W5=1,0,(Psi!W4-Psi!W6)/(2*p_h))</f>
        <v/>
      </c>
      <c r="X5" s="16">
        <f>IF(Mask!X5=1,0,(Psi!X4-Psi!X6)/(2*p_h))</f>
        <v/>
      </c>
      <c r="Y5" s="16">
        <f>IF(Mask!Y5=1,0,(Psi!Y4-Psi!Y6)/(2*p_h))</f>
        <v/>
      </c>
      <c r="Z5" s="16">
        <f>IF(Mask!Z5=1,0,(Psi!Z4-Psi!Z6)/(2*p_h))</f>
        <v/>
      </c>
      <c r="AA5" s="16">
        <f>IF(Mask!AA5=1,0,(Psi!AA4-Psi!AA6)/(2*p_h))</f>
        <v/>
      </c>
      <c r="AB5" s="16">
        <f>IF(Mask!AB5=1,0,(Psi!AB4-Psi!AB6)/(2*p_h))</f>
        <v/>
      </c>
      <c r="AC5" s="16">
        <f>IF(Mask!AC5=1,0,(Psi!AC4-Psi!AC6)/(2*p_h))</f>
        <v/>
      </c>
      <c r="AD5" s="16">
        <f>IF(Mask!AD5=1,0,(Psi!AD4-Psi!AD6)/(2*p_h))</f>
        <v/>
      </c>
      <c r="AE5" s="16">
        <f>IF(Mask!AE5=1,0,(Psi!AE4-Psi!AE6)/(2*p_h))</f>
        <v/>
      </c>
      <c r="AF5" s="16">
        <f>IF(Mask!AF5=1,0,(Psi!AF4-Psi!AF6)/(2*p_h))</f>
        <v/>
      </c>
      <c r="AG5" s="16">
        <f>IF(Mask!AG5=1,0,(Psi!AG4-Psi!AG6)/(2*p_h))</f>
        <v/>
      </c>
      <c r="AH5" s="16">
        <f>IF(Mask!AH5=1,0,(Psi!AH4-Psi!AH6)/(2*p_h))</f>
        <v/>
      </c>
      <c r="AI5" s="16">
        <f>IF(Mask!AI5=1,0,(Psi!AI4-Psi!AI6)/(2*p_h))</f>
        <v/>
      </c>
      <c r="AJ5" s="16">
        <f>IF(Mask!AJ5=1,0,(Psi!AJ4-Psi!AJ6)/(2*p_h))</f>
        <v/>
      </c>
      <c r="AK5" s="16">
        <f>IF(Mask!AK5=1,0,(Psi!AK4-Psi!AK6)/(2*p_h))</f>
        <v/>
      </c>
      <c r="AL5" s="16">
        <f>IF(Mask!AL5=1,0,(Psi!AL4-Psi!AL6)/(2*p_h))</f>
        <v/>
      </c>
      <c r="AM5" s="16">
        <f>IF(Mask!AM5=1,0,(Psi!AM4-Psi!AM6)/(2*p_h))</f>
        <v/>
      </c>
      <c r="AN5" s="16">
        <f>IF(Mask!AN5=1,0,(Psi!AN4-Psi!AN6)/(2*p_h))</f>
        <v/>
      </c>
      <c r="AO5" s="16">
        <f>IF(Mask!AO5=1,0,(Psi!AO4-Psi!AO6)/(2*p_h))</f>
        <v/>
      </c>
      <c r="AP5" s="16">
        <f>IF(Mask!AP5=1,0,(Psi!AP4-Psi!AP6)/(2*p_h))</f>
        <v/>
      </c>
    </row>
    <row r="6">
      <c r="A6" s="7">
        <f>A5-p_h</f>
        <v/>
      </c>
      <c r="B6" s="16">
        <f>IF(Mask!B6=1,0,(Psi!B5-Psi!B7)/(2*p_h))</f>
        <v/>
      </c>
      <c r="C6" s="16">
        <f>IF(Mask!C6=1,0,(Psi!C5-Psi!C7)/(2*p_h))</f>
        <v/>
      </c>
      <c r="D6" s="16">
        <f>IF(Mask!D6=1,0,(Psi!D5-Psi!D7)/(2*p_h))</f>
        <v/>
      </c>
      <c r="E6" s="16">
        <f>IF(Mask!E6=1,0,(Psi!E5-Psi!E7)/(2*p_h))</f>
        <v/>
      </c>
      <c r="F6" s="16">
        <f>IF(Mask!F6=1,0,(Psi!F5-Psi!F7)/(2*p_h))</f>
        <v/>
      </c>
      <c r="G6" s="16">
        <f>IF(Mask!G6=1,0,(Psi!G5-Psi!G7)/(2*p_h))</f>
        <v/>
      </c>
      <c r="H6" s="16">
        <f>IF(Mask!H6=1,0,(Psi!H5-Psi!H7)/(2*p_h))</f>
        <v/>
      </c>
      <c r="I6" s="16">
        <f>IF(Mask!I6=1,0,(Psi!I5-Psi!I7)/(2*p_h))</f>
        <v/>
      </c>
      <c r="J6" s="16">
        <f>IF(Mask!J6=1,0,(Psi!J5-Psi!J7)/(2*p_h))</f>
        <v/>
      </c>
      <c r="K6" s="16">
        <f>IF(Mask!K6=1,0,(Psi!K5-Psi!K7)/(2*p_h))</f>
        <v/>
      </c>
      <c r="L6" s="16">
        <f>IF(Mask!L6=1,0,(Psi!L5-Psi!L7)/(2*p_h))</f>
        <v/>
      </c>
      <c r="M6" s="16">
        <f>IF(Mask!M6=1,0,(Psi!M5-Psi!M7)/(2*p_h))</f>
        <v/>
      </c>
      <c r="N6" s="16">
        <f>IF(Mask!N6=1,0,(Psi!N5-Psi!N7)/(2*p_h))</f>
        <v/>
      </c>
      <c r="O6" s="16">
        <f>IF(Mask!O6=1,0,(Psi!O5-Psi!O7)/(2*p_h))</f>
        <v/>
      </c>
      <c r="P6" s="16">
        <f>IF(Mask!P6=1,0,(Psi!P5-Psi!P7)/(2*p_h))</f>
        <v/>
      </c>
      <c r="Q6" s="16">
        <f>IF(Mask!Q6=1,0,(Psi!Q5-Psi!Q7)/(2*p_h))</f>
        <v/>
      </c>
      <c r="R6" s="16">
        <f>IF(Mask!R6=1,0,(Psi!R5-Psi!R7)/(2*p_h))</f>
        <v/>
      </c>
      <c r="S6" s="16">
        <f>IF(Mask!S6=1,0,(Psi!S5-Psi!S7)/(2*p_h))</f>
        <v/>
      </c>
      <c r="T6" s="16">
        <f>IF(Mask!T6=1,0,(Psi!T5-Psi!T7)/(2*p_h))</f>
        <v/>
      </c>
      <c r="U6" s="16">
        <f>IF(Mask!U6=1,0,(Psi!U5-Psi!U7)/(2*p_h))</f>
        <v/>
      </c>
      <c r="V6" s="16">
        <f>IF(Mask!V6=1,0,(Psi!V5-Psi!V7)/(2*p_h))</f>
        <v/>
      </c>
      <c r="W6" s="16">
        <f>IF(Mask!W6=1,0,(Psi!W5-Psi!W7)/(2*p_h))</f>
        <v/>
      </c>
      <c r="X6" s="16">
        <f>IF(Mask!X6=1,0,(Psi!X5-Psi!X7)/(2*p_h))</f>
        <v/>
      </c>
      <c r="Y6" s="16">
        <f>IF(Mask!Y6=1,0,(Psi!Y5-Psi!Y7)/(2*p_h))</f>
        <v/>
      </c>
      <c r="Z6" s="16">
        <f>IF(Mask!Z6=1,0,(Psi!Z5-Psi!Z7)/(2*p_h))</f>
        <v/>
      </c>
      <c r="AA6" s="16">
        <f>IF(Mask!AA6=1,0,(Psi!AA5-Psi!AA7)/(2*p_h))</f>
        <v/>
      </c>
      <c r="AB6" s="16">
        <f>IF(Mask!AB6=1,0,(Psi!AB5-Psi!AB7)/(2*p_h))</f>
        <v/>
      </c>
      <c r="AC6" s="16">
        <f>IF(Mask!AC6=1,0,(Psi!AC5-Psi!AC7)/(2*p_h))</f>
        <v/>
      </c>
      <c r="AD6" s="16">
        <f>IF(Mask!AD6=1,0,(Psi!AD5-Psi!AD7)/(2*p_h))</f>
        <v/>
      </c>
      <c r="AE6" s="16">
        <f>IF(Mask!AE6=1,0,(Psi!AE5-Psi!AE7)/(2*p_h))</f>
        <v/>
      </c>
      <c r="AF6" s="16">
        <f>IF(Mask!AF6=1,0,(Psi!AF5-Psi!AF7)/(2*p_h))</f>
        <v/>
      </c>
      <c r="AG6" s="16">
        <f>IF(Mask!AG6=1,0,(Psi!AG5-Psi!AG7)/(2*p_h))</f>
        <v/>
      </c>
      <c r="AH6" s="16">
        <f>IF(Mask!AH6=1,0,(Psi!AH5-Psi!AH7)/(2*p_h))</f>
        <v/>
      </c>
      <c r="AI6" s="16">
        <f>IF(Mask!AI6=1,0,(Psi!AI5-Psi!AI7)/(2*p_h))</f>
        <v/>
      </c>
      <c r="AJ6" s="16">
        <f>IF(Mask!AJ6=1,0,(Psi!AJ5-Psi!AJ7)/(2*p_h))</f>
        <v/>
      </c>
      <c r="AK6" s="16">
        <f>IF(Mask!AK6=1,0,(Psi!AK5-Psi!AK7)/(2*p_h))</f>
        <v/>
      </c>
      <c r="AL6" s="16">
        <f>IF(Mask!AL6=1,0,(Psi!AL5-Psi!AL7)/(2*p_h))</f>
        <v/>
      </c>
      <c r="AM6" s="16">
        <f>IF(Mask!AM6=1,0,(Psi!AM5-Psi!AM7)/(2*p_h))</f>
        <v/>
      </c>
      <c r="AN6" s="16">
        <f>IF(Mask!AN6=1,0,(Psi!AN5-Psi!AN7)/(2*p_h))</f>
        <v/>
      </c>
      <c r="AO6" s="16">
        <f>IF(Mask!AO6=1,0,(Psi!AO5-Psi!AO7)/(2*p_h))</f>
        <v/>
      </c>
      <c r="AP6" s="16">
        <f>IF(Mask!AP6=1,0,(Psi!AP5-Psi!AP7)/(2*p_h))</f>
        <v/>
      </c>
    </row>
    <row r="7">
      <c r="A7" s="7">
        <f>A6-p_h</f>
        <v/>
      </c>
      <c r="B7" s="16">
        <f>IF(Mask!B7=1,0,(Psi!B6-Psi!B8)/(2*p_h))</f>
        <v/>
      </c>
      <c r="C7" s="16">
        <f>IF(Mask!C7=1,0,(Psi!C6-Psi!C8)/(2*p_h))</f>
        <v/>
      </c>
      <c r="D7" s="16">
        <f>IF(Mask!D7=1,0,(Psi!D6-Psi!D8)/(2*p_h))</f>
        <v/>
      </c>
      <c r="E7" s="16">
        <f>IF(Mask!E7=1,0,(Psi!E6-Psi!E8)/(2*p_h))</f>
        <v/>
      </c>
      <c r="F7" s="16">
        <f>IF(Mask!F7=1,0,(Psi!F6-Psi!F8)/(2*p_h))</f>
        <v/>
      </c>
      <c r="G7" s="16">
        <f>IF(Mask!G7=1,0,(Psi!G6-Psi!G8)/(2*p_h))</f>
        <v/>
      </c>
      <c r="H7" s="16">
        <f>IF(Mask!H7=1,0,(Psi!H6-Psi!H8)/(2*p_h))</f>
        <v/>
      </c>
      <c r="I7" s="16">
        <f>IF(Mask!I7=1,0,(Psi!I6-Psi!I8)/(2*p_h))</f>
        <v/>
      </c>
      <c r="J7" s="16">
        <f>IF(Mask!J7=1,0,(Psi!J6-Psi!J8)/(2*p_h))</f>
        <v/>
      </c>
      <c r="K7" s="16">
        <f>IF(Mask!K7=1,0,(Psi!K6-Psi!K8)/(2*p_h))</f>
        <v/>
      </c>
      <c r="L7" s="16">
        <f>IF(Mask!L7=1,0,(Psi!L6-Psi!L8)/(2*p_h))</f>
        <v/>
      </c>
      <c r="M7" s="16">
        <f>IF(Mask!M7=1,0,(Psi!M6-Psi!M8)/(2*p_h))</f>
        <v/>
      </c>
      <c r="N7" s="16">
        <f>IF(Mask!N7=1,0,(Psi!N6-Psi!N8)/(2*p_h))</f>
        <v/>
      </c>
      <c r="O7" s="16">
        <f>IF(Mask!O7=1,0,(Psi!O6-Psi!O8)/(2*p_h))</f>
        <v/>
      </c>
      <c r="P7" s="16">
        <f>IF(Mask!P7=1,0,(Psi!P6-Psi!P8)/(2*p_h))</f>
        <v/>
      </c>
      <c r="Q7" s="16">
        <f>IF(Mask!Q7=1,0,(Psi!Q6-Psi!Q8)/(2*p_h))</f>
        <v/>
      </c>
      <c r="R7" s="16">
        <f>IF(Mask!R7=1,0,(Psi!R6-Psi!R8)/(2*p_h))</f>
        <v/>
      </c>
      <c r="S7" s="16">
        <f>IF(Mask!S7=1,0,(Psi!S6-Psi!S8)/(2*p_h))</f>
        <v/>
      </c>
      <c r="T7" s="16">
        <f>IF(Mask!T7=1,0,(Psi!T6-Psi!T8)/(2*p_h))</f>
        <v/>
      </c>
      <c r="U7" s="16">
        <f>IF(Mask!U7=1,0,(Psi!U6-Psi!U8)/(2*p_h))</f>
        <v/>
      </c>
      <c r="V7" s="16">
        <f>IF(Mask!V7=1,0,(Psi!V6-Psi!V8)/(2*p_h))</f>
        <v/>
      </c>
      <c r="W7" s="16">
        <f>IF(Mask!W7=1,0,(Psi!W6-Psi!W8)/(2*p_h))</f>
        <v/>
      </c>
      <c r="X7" s="16">
        <f>IF(Mask!X7=1,0,(Psi!X6-Psi!X8)/(2*p_h))</f>
        <v/>
      </c>
      <c r="Y7" s="16">
        <f>IF(Mask!Y7=1,0,(Psi!Y6-Psi!Y8)/(2*p_h))</f>
        <v/>
      </c>
      <c r="Z7" s="16">
        <f>IF(Mask!Z7=1,0,(Psi!Z6-Psi!Z8)/(2*p_h))</f>
        <v/>
      </c>
      <c r="AA7" s="16">
        <f>IF(Mask!AA7=1,0,(Psi!AA6-Psi!AA8)/(2*p_h))</f>
        <v/>
      </c>
      <c r="AB7" s="16">
        <f>IF(Mask!AB7=1,0,(Psi!AB6-Psi!AB8)/(2*p_h))</f>
        <v/>
      </c>
      <c r="AC7" s="16">
        <f>IF(Mask!AC7=1,0,(Psi!AC6-Psi!AC8)/(2*p_h))</f>
        <v/>
      </c>
      <c r="AD7" s="16">
        <f>IF(Mask!AD7=1,0,(Psi!AD6-Psi!AD8)/(2*p_h))</f>
        <v/>
      </c>
      <c r="AE7" s="16">
        <f>IF(Mask!AE7=1,0,(Psi!AE6-Psi!AE8)/(2*p_h))</f>
        <v/>
      </c>
      <c r="AF7" s="16">
        <f>IF(Mask!AF7=1,0,(Psi!AF6-Psi!AF8)/(2*p_h))</f>
        <v/>
      </c>
      <c r="AG7" s="16">
        <f>IF(Mask!AG7=1,0,(Psi!AG6-Psi!AG8)/(2*p_h))</f>
        <v/>
      </c>
      <c r="AH7" s="16">
        <f>IF(Mask!AH7=1,0,(Psi!AH6-Psi!AH8)/(2*p_h))</f>
        <v/>
      </c>
      <c r="AI7" s="16">
        <f>IF(Mask!AI7=1,0,(Psi!AI6-Psi!AI8)/(2*p_h))</f>
        <v/>
      </c>
      <c r="AJ7" s="16">
        <f>IF(Mask!AJ7=1,0,(Psi!AJ6-Psi!AJ8)/(2*p_h))</f>
        <v/>
      </c>
      <c r="AK7" s="16">
        <f>IF(Mask!AK7=1,0,(Psi!AK6-Psi!AK8)/(2*p_h))</f>
        <v/>
      </c>
      <c r="AL7" s="16">
        <f>IF(Mask!AL7=1,0,(Psi!AL6-Psi!AL8)/(2*p_h))</f>
        <v/>
      </c>
      <c r="AM7" s="16">
        <f>IF(Mask!AM7=1,0,(Psi!AM6-Psi!AM8)/(2*p_h))</f>
        <v/>
      </c>
      <c r="AN7" s="16">
        <f>IF(Mask!AN7=1,0,(Psi!AN6-Psi!AN8)/(2*p_h))</f>
        <v/>
      </c>
      <c r="AO7" s="16">
        <f>IF(Mask!AO7=1,0,(Psi!AO6-Psi!AO8)/(2*p_h))</f>
        <v/>
      </c>
      <c r="AP7" s="16">
        <f>IF(Mask!AP7=1,0,(Psi!AP6-Psi!AP8)/(2*p_h))</f>
        <v/>
      </c>
    </row>
    <row r="8">
      <c r="A8" s="7">
        <f>A7-p_h</f>
        <v/>
      </c>
      <c r="B8" s="16">
        <f>IF(Mask!B8=1,0,(Psi!B7-Psi!B9)/(2*p_h))</f>
        <v/>
      </c>
      <c r="C8" s="16">
        <f>IF(Mask!C8=1,0,(Psi!C7-Psi!C9)/(2*p_h))</f>
        <v/>
      </c>
      <c r="D8" s="16">
        <f>IF(Mask!D8=1,0,(Psi!D7-Psi!D9)/(2*p_h))</f>
        <v/>
      </c>
      <c r="E8" s="16">
        <f>IF(Mask!E8=1,0,(Psi!E7-Psi!E9)/(2*p_h))</f>
        <v/>
      </c>
      <c r="F8" s="16">
        <f>IF(Mask!F8=1,0,(Psi!F7-Psi!F9)/(2*p_h))</f>
        <v/>
      </c>
      <c r="G8" s="16">
        <f>IF(Mask!G8=1,0,(Psi!G7-Psi!G9)/(2*p_h))</f>
        <v/>
      </c>
      <c r="H8" s="16">
        <f>IF(Mask!H8=1,0,(Psi!H7-Psi!H9)/(2*p_h))</f>
        <v/>
      </c>
      <c r="I8" s="16">
        <f>IF(Mask!I8=1,0,(Psi!I7-Psi!I9)/(2*p_h))</f>
        <v/>
      </c>
      <c r="J8" s="16">
        <f>IF(Mask!J8=1,0,(Psi!J7-Psi!J9)/(2*p_h))</f>
        <v/>
      </c>
      <c r="K8" s="16">
        <f>IF(Mask!K8=1,0,(Psi!K7-Psi!K9)/(2*p_h))</f>
        <v/>
      </c>
      <c r="L8" s="16">
        <f>IF(Mask!L8=1,0,(Psi!L7-Psi!L9)/(2*p_h))</f>
        <v/>
      </c>
      <c r="M8" s="16">
        <f>IF(Mask!M8=1,0,(Psi!M7-Psi!M9)/(2*p_h))</f>
        <v/>
      </c>
      <c r="N8" s="16">
        <f>IF(Mask!N8=1,0,(Psi!N7-Psi!N9)/(2*p_h))</f>
        <v/>
      </c>
      <c r="O8" s="16">
        <f>IF(Mask!O8=1,0,(Psi!O7-Psi!O9)/(2*p_h))</f>
        <v/>
      </c>
      <c r="P8" s="16">
        <f>IF(Mask!P8=1,0,(Psi!P7-Psi!P9)/(2*p_h))</f>
        <v/>
      </c>
      <c r="Q8" s="16">
        <f>IF(Mask!Q8=1,0,(Psi!Q7-Psi!Q9)/(2*p_h))</f>
        <v/>
      </c>
      <c r="R8" s="16">
        <f>IF(Mask!R8=1,0,(Psi!R7-Psi!R9)/(2*p_h))</f>
        <v/>
      </c>
      <c r="S8" s="16">
        <f>IF(Mask!S8=1,0,(Psi!S7-Psi!S9)/(2*p_h))</f>
        <v/>
      </c>
      <c r="T8" s="16">
        <f>IF(Mask!T8=1,0,(Psi!T7-Psi!T9)/(2*p_h))</f>
        <v/>
      </c>
      <c r="U8" s="16">
        <f>IF(Mask!U8=1,0,(Psi!U7-Psi!U9)/(2*p_h))</f>
        <v/>
      </c>
      <c r="V8" s="16">
        <f>IF(Mask!V8=1,0,(Psi!V7-Psi!V9)/(2*p_h))</f>
        <v/>
      </c>
      <c r="W8" s="16">
        <f>IF(Mask!W8=1,0,(Psi!W7-Psi!W9)/(2*p_h))</f>
        <v/>
      </c>
      <c r="X8" s="16">
        <f>IF(Mask!X8=1,0,(Psi!X7-Psi!X9)/(2*p_h))</f>
        <v/>
      </c>
      <c r="Y8" s="16">
        <f>IF(Mask!Y8=1,0,(Psi!Y7-Psi!Y9)/(2*p_h))</f>
        <v/>
      </c>
      <c r="Z8" s="16">
        <f>IF(Mask!Z8=1,0,(Psi!Z7-Psi!Z9)/(2*p_h))</f>
        <v/>
      </c>
      <c r="AA8" s="16">
        <f>IF(Mask!AA8=1,0,(Psi!AA7-Psi!AA9)/(2*p_h))</f>
        <v/>
      </c>
      <c r="AB8" s="16">
        <f>IF(Mask!AB8=1,0,(Psi!AB7-Psi!AB9)/(2*p_h))</f>
        <v/>
      </c>
      <c r="AC8" s="16">
        <f>IF(Mask!AC8=1,0,(Psi!AC7-Psi!AC9)/(2*p_h))</f>
        <v/>
      </c>
      <c r="AD8" s="16">
        <f>IF(Mask!AD8=1,0,(Psi!AD7-Psi!AD9)/(2*p_h))</f>
        <v/>
      </c>
      <c r="AE8" s="16">
        <f>IF(Mask!AE8=1,0,(Psi!AE7-Psi!AE9)/(2*p_h))</f>
        <v/>
      </c>
      <c r="AF8" s="16">
        <f>IF(Mask!AF8=1,0,(Psi!AF7-Psi!AF9)/(2*p_h))</f>
        <v/>
      </c>
      <c r="AG8" s="16">
        <f>IF(Mask!AG8=1,0,(Psi!AG7-Psi!AG9)/(2*p_h))</f>
        <v/>
      </c>
      <c r="AH8" s="16">
        <f>IF(Mask!AH8=1,0,(Psi!AH7-Psi!AH9)/(2*p_h))</f>
        <v/>
      </c>
      <c r="AI8" s="16">
        <f>IF(Mask!AI8=1,0,(Psi!AI7-Psi!AI9)/(2*p_h))</f>
        <v/>
      </c>
      <c r="AJ8" s="16">
        <f>IF(Mask!AJ8=1,0,(Psi!AJ7-Psi!AJ9)/(2*p_h))</f>
        <v/>
      </c>
      <c r="AK8" s="16">
        <f>IF(Mask!AK8=1,0,(Psi!AK7-Psi!AK9)/(2*p_h))</f>
        <v/>
      </c>
      <c r="AL8" s="16">
        <f>IF(Mask!AL8=1,0,(Psi!AL7-Psi!AL9)/(2*p_h))</f>
        <v/>
      </c>
      <c r="AM8" s="16">
        <f>IF(Mask!AM8=1,0,(Psi!AM7-Psi!AM9)/(2*p_h))</f>
        <v/>
      </c>
      <c r="AN8" s="16">
        <f>IF(Mask!AN8=1,0,(Psi!AN7-Psi!AN9)/(2*p_h))</f>
        <v/>
      </c>
      <c r="AO8" s="16">
        <f>IF(Mask!AO8=1,0,(Psi!AO7-Psi!AO9)/(2*p_h))</f>
        <v/>
      </c>
      <c r="AP8" s="16">
        <f>IF(Mask!AP8=1,0,(Psi!AP7-Psi!AP9)/(2*p_h))</f>
        <v/>
      </c>
    </row>
    <row r="9">
      <c r="A9" s="7">
        <f>A8-p_h</f>
        <v/>
      </c>
      <c r="B9" s="16">
        <f>IF(Mask!B9=1,0,(Psi!B8-Psi!B10)/(2*p_h))</f>
        <v/>
      </c>
      <c r="C9" s="16">
        <f>IF(Mask!C9=1,0,(Psi!C8-Psi!C10)/(2*p_h))</f>
        <v/>
      </c>
      <c r="D9" s="16">
        <f>IF(Mask!D9=1,0,(Psi!D8-Psi!D10)/(2*p_h))</f>
        <v/>
      </c>
      <c r="E9" s="16">
        <f>IF(Mask!E9=1,0,(Psi!E8-Psi!E10)/(2*p_h))</f>
        <v/>
      </c>
      <c r="F9" s="16">
        <f>IF(Mask!F9=1,0,(Psi!F8-Psi!F10)/(2*p_h))</f>
        <v/>
      </c>
      <c r="G9" s="16">
        <f>IF(Mask!G9=1,0,(Psi!G8-Psi!G10)/(2*p_h))</f>
        <v/>
      </c>
      <c r="H9" s="16">
        <f>IF(Mask!H9=1,0,(Psi!H8-Psi!H10)/(2*p_h))</f>
        <v/>
      </c>
      <c r="I9" s="16">
        <f>IF(Mask!I9=1,0,(Psi!I8-Psi!I10)/(2*p_h))</f>
        <v/>
      </c>
      <c r="J9" s="16">
        <f>IF(Mask!J9=1,0,(Psi!J8-Psi!J10)/(2*p_h))</f>
        <v/>
      </c>
      <c r="K9" s="16">
        <f>IF(Mask!K9=1,0,(Psi!K8-Psi!K10)/(2*p_h))</f>
        <v/>
      </c>
      <c r="L9" s="16">
        <f>IF(Mask!L9=1,0,(Psi!L8-Psi!L10)/(2*p_h))</f>
        <v/>
      </c>
      <c r="M9" s="16">
        <f>IF(Mask!M9=1,0,(Psi!M8-Psi!M10)/(2*p_h))</f>
        <v/>
      </c>
      <c r="N9" s="16">
        <f>IF(Mask!N9=1,0,(Psi!N8-Psi!N10)/(2*p_h))</f>
        <v/>
      </c>
      <c r="O9" s="16">
        <f>IF(Mask!O9=1,0,(Psi!O8-Psi!O10)/(2*p_h))</f>
        <v/>
      </c>
      <c r="P9" s="16">
        <f>IF(Mask!P9=1,0,(Psi!P8-Psi!P10)/(2*p_h))</f>
        <v/>
      </c>
      <c r="Q9" s="16">
        <f>IF(Mask!Q9=1,0,(Psi!Q8-Psi!Q10)/(2*p_h))</f>
        <v/>
      </c>
      <c r="R9" s="16">
        <f>IF(Mask!R9=1,0,(Psi!R8-Psi!R10)/(2*p_h))</f>
        <v/>
      </c>
      <c r="S9" s="16">
        <f>IF(Mask!S9=1,0,(Psi!S8-Psi!S10)/(2*p_h))</f>
        <v/>
      </c>
      <c r="T9" s="16">
        <f>IF(Mask!T9=1,0,(Psi!T8-Psi!T10)/(2*p_h))</f>
        <v/>
      </c>
      <c r="U9" s="16">
        <f>IF(Mask!U9=1,0,(Psi!U8-Psi!U10)/(2*p_h))</f>
        <v/>
      </c>
      <c r="V9" s="16">
        <f>IF(Mask!V9=1,0,(Psi!V8-Psi!V10)/(2*p_h))</f>
        <v/>
      </c>
      <c r="W9" s="16">
        <f>IF(Mask!W9=1,0,(Psi!W8-Psi!W10)/(2*p_h))</f>
        <v/>
      </c>
      <c r="X9" s="16">
        <f>IF(Mask!X9=1,0,(Psi!X8-Psi!X10)/(2*p_h))</f>
        <v/>
      </c>
      <c r="Y9" s="16">
        <f>IF(Mask!Y9=1,0,(Psi!Y8-Psi!Y10)/(2*p_h))</f>
        <v/>
      </c>
      <c r="Z9" s="16">
        <f>IF(Mask!Z9=1,0,(Psi!Z8-Psi!Z10)/(2*p_h))</f>
        <v/>
      </c>
      <c r="AA9" s="16">
        <f>IF(Mask!AA9=1,0,(Psi!AA8-Psi!AA10)/(2*p_h))</f>
        <v/>
      </c>
      <c r="AB9" s="16">
        <f>IF(Mask!AB9=1,0,(Psi!AB8-Psi!AB10)/(2*p_h))</f>
        <v/>
      </c>
      <c r="AC9" s="16">
        <f>IF(Mask!AC9=1,0,(Psi!AC8-Psi!AC10)/(2*p_h))</f>
        <v/>
      </c>
      <c r="AD9" s="16">
        <f>IF(Mask!AD9=1,0,(Psi!AD8-Psi!AD10)/(2*p_h))</f>
        <v/>
      </c>
      <c r="AE9" s="16">
        <f>IF(Mask!AE9=1,0,(Psi!AE8-Psi!AE10)/(2*p_h))</f>
        <v/>
      </c>
      <c r="AF9" s="16">
        <f>IF(Mask!AF9=1,0,(Psi!AF8-Psi!AF10)/(2*p_h))</f>
        <v/>
      </c>
      <c r="AG9" s="16">
        <f>IF(Mask!AG9=1,0,(Psi!AG8-Psi!AG10)/(2*p_h))</f>
        <v/>
      </c>
      <c r="AH9" s="16">
        <f>IF(Mask!AH9=1,0,(Psi!AH8-Psi!AH10)/(2*p_h))</f>
        <v/>
      </c>
      <c r="AI9" s="16">
        <f>IF(Mask!AI9=1,0,(Psi!AI8-Psi!AI10)/(2*p_h))</f>
        <v/>
      </c>
      <c r="AJ9" s="16">
        <f>IF(Mask!AJ9=1,0,(Psi!AJ8-Psi!AJ10)/(2*p_h))</f>
        <v/>
      </c>
      <c r="AK9" s="16">
        <f>IF(Mask!AK9=1,0,(Psi!AK8-Psi!AK10)/(2*p_h))</f>
        <v/>
      </c>
      <c r="AL9" s="16">
        <f>IF(Mask!AL9=1,0,(Psi!AL8-Psi!AL10)/(2*p_h))</f>
        <v/>
      </c>
      <c r="AM9" s="16">
        <f>IF(Mask!AM9=1,0,(Psi!AM8-Psi!AM10)/(2*p_h))</f>
        <v/>
      </c>
      <c r="AN9" s="16">
        <f>IF(Mask!AN9=1,0,(Psi!AN8-Psi!AN10)/(2*p_h))</f>
        <v/>
      </c>
      <c r="AO9" s="16">
        <f>IF(Mask!AO9=1,0,(Psi!AO8-Psi!AO10)/(2*p_h))</f>
        <v/>
      </c>
      <c r="AP9" s="16">
        <f>IF(Mask!AP9=1,0,(Psi!AP8-Psi!AP10)/(2*p_h))</f>
        <v/>
      </c>
    </row>
    <row r="10">
      <c r="A10" s="7">
        <f>A9-p_h</f>
        <v/>
      </c>
      <c r="B10" s="16">
        <f>IF(Mask!B10=1,0,(Psi!B9-Psi!B11)/(2*p_h))</f>
        <v/>
      </c>
      <c r="C10" s="16">
        <f>IF(Mask!C10=1,0,(Psi!C9-Psi!C11)/(2*p_h))</f>
        <v/>
      </c>
      <c r="D10" s="16">
        <f>IF(Mask!D10=1,0,(Psi!D9-Psi!D11)/(2*p_h))</f>
        <v/>
      </c>
      <c r="E10" s="16">
        <f>IF(Mask!E10=1,0,(Psi!E9-Psi!E11)/(2*p_h))</f>
        <v/>
      </c>
      <c r="F10" s="16">
        <f>IF(Mask!F10=1,0,(Psi!F9-Psi!F11)/(2*p_h))</f>
        <v/>
      </c>
      <c r="G10" s="16">
        <f>IF(Mask!G10=1,0,(Psi!G9-Psi!G11)/(2*p_h))</f>
        <v/>
      </c>
      <c r="H10" s="16">
        <f>IF(Mask!H10=1,0,(Psi!H9-Psi!H11)/(2*p_h))</f>
        <v/>
      </c>
      <c r="I10" s="16">
        <f>IF(Mask!I10=1,0,(Psi!I9-Psi!I11)/(2*p_h))</f>
        <v/>
      </c>
      <c r="J10" s="16">
        <f>IF(Mask!J10=1,0,(Psi!J9-Psi!J11)/(2*p_h))</f>
        <v/>
      </c>
      <c r="K10" s="16">
        <f>IF(Mask!K10=1,0,(Psi!K9-Psi!K11)/(2*p_h))</f>
        <v/>
      </c>
      <c r="L10" s="16">
        <f>IF(Mask!L10=1,0,(Psi!L9-Psi!L11)/(2*p_h))</f>
        <v/>
      </c>
      <c r="M10" s="16">
        <f>IF(Mask!M10=1,0,(Psi!M9-Psi!M11)/(2*p_h))</f>
        <v/>
      </c>
      <c r="N10" s="16">
        <f>IF(Mask!N10=1,0,(Psi!N9-Psi!N11)/(2*p_h))</f>
        <v/>
      </c>
      <c r="O10" s="16">
        <f>IF(Mask!O10=1,0,(Psi!O9-Psi!O11)/(2*p_h))</f>
        <v/>
      </c>
      <c r="P10" s="16">
        <f>IF(Mask!P10=1,0,(Psi!P9-Psi!P11)/(2*p_h))</f>
        <v/>
      </c>
      <c r="Q10" s="16">
        <f>IF(Mask!Q10=1,0,(Psi!Q9-Psi!Q11)/(2*p_h))</f>
        <v/>
      </c>
      <c r="R10" s="16">
        <f>IF(Mask!R10=1,0,(Psi!R9-Psi!R11)/(2*p_h))</f>
        <v/>
      </c>
      <c r="S10" s="16">
        <f>IF(Mask!S10=1,0,(Psi!S9-Psi!S11)/(2*p_h))</f>
        <v/>
      </c>
      <c r="T10" s="16">
        <f>IF(Mask!T10=1,0,(Psi!T9-Psi!T11)/(2*p_h))</f>
        <v/>
      </c>
      <c r="U10" s="16">
        <f>IF(Mask!U10=1,0,(Psi!U9-Psi!U11)/(2*p_h))</f>
        <v/>
      </c>
      <c r="V10" s="16">
        <f>IF(Mask!V10=1,0,(Psi!V9-Psi!V11)/(2*p_h))</f>
        <v/>
      </c>
      <c r="W10" s="16">
        <f>IF(Mask!W10=1,0,(Psi!W9-Psi!W11)/(2*p_h))</f>
        <v/>
      </c>
      <c r="X10" s="16">
        <f>IF(Mask!X10=1,0,(Psi!X9-Psi!X11)/(2*p_h))</f>
        <v/>
      </c>
      <c r="Y10" s="16">
        <f>IF(Mask!Y10=1,0,(Psi!Y9-Psi!Y11)/(2*p_h))</f>
        <v/>
      </c>
      <c r="Z10" s="16">
        <f>IF(Mask!Z10=1,0,(Psi!Z9-Psi!Z11)/(2*p_h))</f>
        <v/>
      </c>
      <c r="AA10" s="16">
        <f>IF(Mask!AA10=1,0,(Psi!AA9-Psi!AA11)/(2*p_h))</f>
        <v/>
      </c>
      <c r="AB10" s="16">
        <f>IF(Mask!AB10=1,0,(Psi!AB9-Psi!AB11)/(2*p_h))</f>
        <v/>
      </c>
      <c r="AC10" s="16">
        <f>IF(Mask!AC10=1,0,(Psi!AC9-Psi!AC11)/(2*p_h))</f>
        <v/>
      </c>
      <c r="AD10" s="16">
        <f>IF(Mask!AD10=1,0,(Psi!AD9-Psi!AD11)/(2*p_h))</f>
        <v/>
      </c>
      <c r="AE10" s="16">
        <f>IF(Mask!AE10=1,0,(Psi!AE9-Psi!AE11)/(2*p_h))</f>
        <v/>
      </c>
      <c r="AF10" s="16">
        <f>IF(Mask!AF10=1,0,(Psi!AF9-Psi!AF11)/(2*p_h))</f>
        <v/>
      </c>
      <c r="AG10" s="16">
        <f>IF(Mask!AG10=1,0,(Psi!AG9-Psi!AG11)/(2*p_h))</f>
        <v/>
      </c>
      <c r="AH10" s="16">
        <f>IF(Mask!AH10=1,0,(Psi!AH9-Psi!AH11)/(2*p_h))</f>
        <v/>
      </c>
      <c r="AI10" s="16">
        <f>IF(Mask!AI10=1,0,(Psi!AI9-Psi!AI11)/(2*p_h))</f>
        <v/>
      </c>
      <c r="AJ10" s="16">
        <f>IF(Mask!AJ10=1,0,(Psi!AJ9-Psi!AJ11)/(2*p_h))</f>
        <v/>
      </c>
      <c r="AK10" s="16">
        <f>IF(Mask!AK10=1,0,(Psi!AK9-Psi!AK11)/(2*p_h))</f>
        <v/>
      </c>
      <c r="AL10" s="16">
        <f>IF(Mask!AL10=1,0,(Psi!AL9-Psi!AL11)/(2*p_h))</f>
        <v/>
      </c>
      <c r="AM10" s="16">
        <f>IF(Mask!AM10=1,0,(Psi!AM9-Psi!AM11)/(2*p_h))</f>
        <v/>
      </c>
      <c r="AN10" s="16">
        <f>IF(Mask!AN10=1,0,(Psi!AN9-Psi!AN11)/(2*p_h))</f>
        <v/>
      </c>
      <c r="AO10" s="16">
        <f>IF(Mask!AO10=1,0,(Psi!AO9-Psi!AO11)/(2*p_h))</f>
        <v/>
      </c>
      <c r="AP10" s="16">
        <f>IF(Mask!AP10=1,0,(Psi!AP9-Psi!AP11)/(2*p_h))</f>
        <v/>
      </c>
    </row>
    <row r="11">
      <c r="A11" s="7">
        <f>A10-p_h</f>
        <v/>
      </c>
      <c r="B11" s="16">
        <f>IF(Mask!B11=1,0,(Psi!B10-Psi!B12)/(2*p_h))</f>
        <v/>
      </c>
      <c r="C11" s="16">
        <f>IF(Mask!C11=1,0,(Psi!C10-Psi!C12)/(2*p_h))</f>
        <v/>
      </c>
      <c r="D11" s="16">
        <f>IF(Mask!D11=1,0,(Psi!D10-Psi!D12)/(2*p_h))</f>
        <v/>
      </c>
      <c r="E11" s="16">
        <f>IF(Mask!E11=1,0,(Psi!E10-Psi!E12)/(2*p_h))</f>
        <v/>
      </c>
      <c r="F11" s="16">
        <f>IF(Mask!F11=1,0,(Psi!F10-Psi!F12)/(2*p_h))</f>
        <v/>
      </c>
      <c r="G11" s="16">
        <f>IF(Mask!G11=1,0,(Psi!G10-Psi!G12)/(2*p_h))</f>
        <v/>
      </c>
      <c r="H11" s="16">
        <f>IF(Mask!H11=1,0,(Psi!H10-Psi!H12)/(2*p_h))</f>
        <v/>
      </c>
      <c r="I11" s="16">
        <f>IF(Mask!I11=1,0,(Psi!I10-Psi!I12)/(2*p_h))</f>
        <v/>
      </c>
      <c r="J11" s="16">
        <f>IF(Mask!J11=1,0,(Psi!J10-Psi!J12)/(2*p_h))</f>
        <v/>
      </c>
      <c r="K11" s="16">
        <f>IF(Mask!K11=1,0,(Psi!K10-Psi!K12)/(2*p_h))</f>
        <v/>
      </c>
      <c r="L11" s="16">
        <f>IF(Mask!L11=1,0,(Psi!L10-Psi!L12)/(2*p_h))</f>
        <v/>
      </c>
      <c r="M11" s="16">
        <f>IF(Mask!M11=1,0,(Psi!M10-Psi!M12)/(2*p_h))</f>
        <v/>
      </c>
      <c r="N11" s="16">
        <f>IF(Mask!N11=1,0,(Psi!N10-Psi!N12)/(2*p_h))</f>
        <v/>
      </c>
      <c r="O11" s="16">
        <f>IF(Mask!O11=1,0,(Psi!O10-Psi!O12)/(2*p_h))</f>
        <v/>
      </c>
      <c r="P11" s="16">
        <f>IF(Mask!P11=1,0,(Psi!P10-Psi!P12)/(2*p_h))</f>
        <v/>
      </c>
      <c r="Q11" s="16">
        <f>IF(Mask!Q11=1,0,(Psi!Q10-Psi!Q12)/(2*p_h))</f>
        <v/>
      </c>
      <c r="R11" s="16">
        <f>IF(Mask!R11=1,0,(Psi!R10-Psi!R12)/(2*p_h))</f>
        <v/>
      </c>
      <c r="S11" s="16">
        <f>IF(Mask!S11=1,0,(Psi!S10-Psi!S12)/(2*p_h))</f>
        <v/>
      </c>
      <c r="T11" s="16">
        <f>IF(Mask!T11=1,0,(Psi!T10-Psi!T12)/(2*p_h))</f>
        <v/>
      </c>
      <c r="U11" s="16">
        <f>IF(Mask!U11=1,0,(Psi!U10-Psi!U12)/(2*p_h))</f>
        <v/>
      </c>
      <c r="V11" s="16">
        <f>IF(Mask!V11=1,0,(Psi!V10-Psi!V12)/(2*p_h))</f>
        <v/>
      </c>
      <c r="W11" s="16">
        <f>IF(Mask!W11=1,0,(Psi!W10-Psi!W12)/(2*p_h))</f>
        <v/>
      </c>
      <c r="X11" s="16">
        <f>IF(Mask!X11=1,0,(Psi!X10-Psi!X12)/(2*p_h))</f>
        <v/>
      </c>
      <c r="Y11" s="16">
        <f>IF(Mask!Y11=1,0,(Psi!Y10-Psi!Y12)/(2*p_h))</f>
        <v/>
      </c>
      <c r="Z11" s="16">
        <f>IF(Mask!Z11=1,0,(Psi!Z10-Psi!Z12)/(2*p_h))</f>
        <v/>
      </c>
      <c r="AA11" s="16">
        <f>IF(Mask!AA11=1,0,(Psi!AA10-Psi!AA12)/(2*p_h))</f>
        <v/>
      </c>
      <c r="AB11" s="16">
        <f>IF(Mask!AB11=1,0,(Psi!AB10-Psi!AB12)/(2*p_h))</f>
        <v/>
      </c>
      <c r="AC11" s="16">
        <f>IF(Mask!AC11=1,0,(Psi!AC10-Psi!AC12)/(2*p_h))</f>
        <v/>
      </c>
      <c r="AD11" s="16">
        <f>IF(Mask!AD11=1,0,(Psi!AD10-Psi!AD12)/(2*p_h))</f>
        <v/>
      </c>
      <c r="AE11" s="16">
        <f>IF(Mask!AE11=1,0,(Psi!AE10-Psi!AE12)/(2*p_h))</f>
        <v/>
      </c>
      <c r="AF11" s="16">
        <f>IF(Mask!AF11=1,0,(Psi!AF10-Psi!AF12)/(2*p_h))</f>
        <v/>
      </c>
      <c r="AG11" s="16">
        <f>IF(Mask!AG11=1,0,(Psi!AG10-Psi!AG12)/(2*p_h))</f>
        <v/>
      </c>
      <c r="AH11" s="16">
        <f>IF(Mask!AH11=1,0,(Psi!AH10-Psi!AH12)/(2*p_h))</f>
        <v/>
      </c>
      <c r="AI11" s="16">
        <f>IF(Mask!AI11=1,0,(Psi!AI10-Psi!AI12)/(2*p_h))</f>
        <v/>
      </c>
      <c r="AJ11" s="16">
        <f>IF(Mask!AJ11=1,0,(Psi!AJ10-Psi!AJ12)/(2*p_h))</f>
        <v/>
      </c>
      <c r="AK11" s="16">
        <f>IF(Mask!AK11=1,0,(Psi!AK10-Psi!AK12)/(2*p_h))</f>
        <v/>
      </c>
      <c r="AL11" s="16">
        <f>IF(Mask!AL11=1,0,(Psi!AL10-Psi!AL12)/(2*p_h))</f>
        <v/>
      </c>
      <c r="AM11" s="16">
        <f>IF(Mask!AM11=1,0,(Psi!AM10-Psi!AM12)/(2*p_h))</f>
        <v/>
      </c>
      <c r="AN11" s="16">
        <f>IF(Mask!AN11=1,0,(Psi!AN10-Psi!AN12)/(2*p_h))</f>
        <v/>
      </c>
      <c r="AO11" s="16">
        <f>IF(Mask!AO11=1,0,(Psi!AO10-Psi!AO12)/(2*p_h))</f>
        <v/>
      </c>
      <c r="AP11" s="16">
        <f>IF(Mask!AP11=1,0,(Psi!AP10-Psi!AP12)/(2*p_h))</f>
        <v/>
      </c>
    </row>
    <row r="12">
      <c r="A12" s="7">
        <f>A11-p_h</f>
        <v/>
      </c>
      <c r="B12" s="16">
        <f>IF(Mask!B12=1,0,(Psi!B11-Psi!B13)/(2*p_h))</f>
        <v/>
      </c>
      <c r="C12" s="16">
        <f>IF(Mask!C12=1,0,(Psi!C11-Psi!C13)/(2*p_h))</f>
        <v/>
      </c>
      <c r="D12" s="16">
        <f>IF(Mask!D12=1,0,(Psi!D11-Psi!D13)/(2*p_h))</f>
        <v/>
      </c>
      <c r="E12" s="16">
        <f>IF(Mask!E12=1,0,(Psi!E11-Psi!E13)/(2*p_h))</f>
        <v/>
      </c>
      <c r="F12" s="16">
        <f>IF(Mask!F12=1,0,(Psi!F11-Psi!F13)/(2*p_h))</f>
        <v/>
      </c>
      <c r="G12" s="16">
        <f>IF(Mask!G12=1,0,(Psi!G11-Psi!G13)/(2*p_h))</f>
        <v/>
      </c>
      <c r="H12" s="16">
        <f>IF(Mask!H12=1,0,(Psi!H11-Psi!H13)/(2*p_h))</f>
        <v/>
      </c>
      <c r="I12" s="16">
        <f>IF(Mask!I12=1,0,(Psi!I11-Psi!I13)/(2*p_h))</f>
        <v/>
      </c>
      <c r="J12" s="16">
        <f>IF(Mask!J12=1,0,(Psi!J11-Psi!J13)/(2*p_h))</f>
        <v/>
      </c>
      <c r="K12" s="16">
        <f>IF(Mask!K12=1,0,(Psi!K11-Psi!K13)/(2*p_h))</f>
        <v/>
      </c>
      <c r="L12" s="16">
        <f>IF(Mask!L12=1,0,(Psi!L11-Psi!L13)/(2*p_h))</f>
        <v/>
      </c>
      <c r="M12" s="16">
        <f>IF(Mask!M12=1,0,(Psi!M11-Psi!M13)/(2*p_h))</f>
        <v/>
      </c>
      <c r="N12" s="16">
        <f>IF(Mask!N12=1,0,(Psi!N11-Psi!N13)/(2*p_h))</f>
        <v/>
      </c>
      <c r="O12" s="16">
        <f>IF(Mask!O12=1,0,(Psi!O11-Psi!O13)/(2*p_h))</f>
        <v/>
      </c>
      <c r="P12" s="16">
        <f>IF(Mask!P12=1,0,(Psi!P11-Psi!P13)/(2*p_h))</f>
        <v/>
      </c>
      <c r="Q12" s="16">
        <f>IF(Mask!Q12=1,0,(Psi!Q11-Psi!Q13)/(2*p_h))</f>
        <v/>
      </c>
      <c r="R12" s="16">
        <f>IF(Mask!R12=1,0,(Psi!R11-Psi!R13)/(2*p_h))</f>
        <v/>
      </c>
      <c r="S12" s="16">
        <f>IF(Mask!S12=1,0,(Psi!S11-Psi!S13)/(2*p_h))</f>
        <v/>
      </c>
      <c r="T12" s="16">
        <f>IF(Mask!T12=1,0,(Psi!T11-Psi!T13)/(2*p_h))</f>
        <v/>
      </c>
      <c r="U12" s="16">
        <f>IF(Mask!U12=1,0,(Psi!U11-Psi!U13)/(2*p_h))</f>
        <v/>
      </c>
      <c r="V12" s="16">
        <f>IF(Mask!V12=1,0,(Psi!V11-Psi!V13)/(2*p_h))</f>
        <v/>
      </c>
      <c r="W12" s="16">
        <f>IF(Mask!W12=1,0,(Psi!W11-Psi!W13)/(2*p_h))</f>
        <v/>
      </c>
      <c r="X12" s="16">
        <f>IF(Mask!X12=1,0,(Psi!X11-Psi!X13)/(2*p_h))</f>
        <v/>
      </c>
      <c r="Y12" s="16">
        <f>IF(Mask!Y12=1,0,(Psi!Y11-Psi!Y13)/(2*p_h))</f>
        <v/>
      </c>
      <c r="Z12" s="16">
        <f>IF(Mask!Z12=1,0,(Psi!Z11-Psi!Z13)/(2*p_h))</f>
        <v/>
      </c>
      <c r="AA12" s="16">
        <f>IF(Mask!AA12=1,0,(Psi!AA11-Psi!AA13)/(2*p_h))</f>
        <v/>
      </c>
      <c r="AB12" s="16">
        <f>IF(Mask!AB12=1,0,(Psi!AB11-Psi!AB13)/(2*p_h))</f>
        <v/>
      </c>
      <c r="AC12" s="16">
        <f>IF(Mask!AC12=1,0,(Psi!AC11-Psi!AC13)/(2*p_h))</f>
        <v/>
      </c>
      <c r="AD12" s="16">
        <f>IF(Mask!AD12=1,0,(Psi!AD11-Psi!AD13)/(2*p_h))</f>
        <v/>
      </c>
      <c r="AE12" s="16">
        <f>IF(Mask!AE12=1,0,(Psi!AE11-Psi!AE13)/(2*p_h))</f>
        <v/>
      </c>
      <c r="AF12" s="16">
        <f>IF(Mask!AF12=1,0,(Psi!AF11-Psi!AF13)/(2*p_h))</f>
        <v/>
      </c>
      <c r="AG12" s="16">
        <f>IF(Mask!AG12=1,0,(Psi!AG11-Psi!AG13)/(2*p_h))</f>
        <v/>
      </c>
      <c r="AH12" s="16">
        <f>IF(Mask!AH12=1,0,(Psi!AH11-Psi!AH13)/(2*p_h))</f>
        <v/>
      </c>
      <c r="AI12" s="16">
        <f>IF(Mask!AI12=1,0,(Psi!AI11-Psi!AI13)/(2*p_h))</f>
        <v/>
      </c>
      <c r="AJ12" s="16">
        <f>IF(Mask!AJ12=1,0,(Psi!AJ11-Psi!AJ13)/(2*p_h))</f>
        <v/>
      </c>
      <c r="AK12" s="16">
        <f>IF(Mask!AK12=1,0,(Psi!AK11-Psi!AK13)/(2*p_h))</f>
        <v/>
      </c>
      <c r="AL12" s="16">
        <f>IF(Mask!AL12=1,0,(Psi!AL11-Psi!AL13)/(2*p_h))</f>
        <v/>
      </c>
      <c r="AM12" s="16">
        <f>IF(Mask!AM12=1,0,(Psi!AM11-Psi!AM13)/(2*p_h))</f>
        <v/>
      </c>
      <c r="AN12" s="16">
        <f>IF(Mask!AN12=1,0,(Psi!AN11-Psi!AN13)/(2*p_h))</f>
        <v/>
      </c>
      <c r="AO12" s="16">
        <f>IF(Mask!AO12=1,0,(Psi!AO11-Psi!AO13)/(2*p_h))</f>
        <v/>
      </c>
      <c r="AP12" s="16">
        <f>IF(Mask!AP12=1,0,(Psi!AP11-Psi!AP13)/(2*p_h))</f>
        <v/>
      </c>
    </row>
    <row r="13">
      <c r="A13" s="7">
        <f>A12-p_h</f>
        <v/>
      </c>
      <c r="B13" s="16">
        <f>IF(Mask!B13=1,0,(Psi!B12-Psi!B14)/(2*p_h))</f>
        <v/>
      </c>
      <c r="C13" s="16">
        <f>IF(Mask!C13=1,0,(Psi!C12-Psi!C14)/(2*p_h))</f>
        <v/>
      </c>
      <c r="D13" s="16">
        <f>IF(Mask!D13=1,0,(Psi!D12-Psi!D14)/(2*p_h))</f>
        <v/>
      </c>
      <c r="E13" s="16">
        <f>IF(Mask!E13=1,0,(Psi!E12-Psi!E14)/(2*p_h))</f>
        <v/>
      </c>
      <c r="F13" s="16">
        <f>IF(Mask!F13=1,0,(Psi!F12-Psi!F14)/(2*p_h))</f>
        <v/>
      </c>
      <c r="G13" s="16">
        <f>IF(Mask!G13=1,0,(Psi!G12-Psi!G14)/(2*p_h))</f>
        <v/>
      </c>
      <c r="H13" s="16">
        <f>IF(Mask!H13=1,0,(Psi!H12-Psi!H14)/(2*p_h))</f>
        <v/>
      </c>
      <c r="I13" s="16">
        <f>IF(Mask!I13=1,0,(Psi!I12-Psi!I14)/(2*p_h))</f>
        <v/>
      </c>
      <c r="J13" s="16">
        <f>IF(Mask!J13=1,0,(Psi!J12-Psi!J14)/(2*p_h))</f>
        <v/>
      </c>
      <c r="K13" s="16">
        <f>IF(Mask!K13=1,0,(Psi!K12-Psi!K14)/(2*p_h))</f>
        <v/>
      </c>
      <c r="L13" s="16">
        <f>IF(Mask!L13=1,0,(Psi!L12-Psi!L14)/(2*p_h))</f>
        <v/>
      </c>
      <c r="M13" s="16">
        <f>IF(Mask!M13=1,0,(Psi!M12-Psi!M14)/(2*p_h))</f>
        <v/>
      </c>
      <c r="N13" s="16">
        <f>IF(Mask!N13=1,0,(Psi!N12-Psi!N14)/(2*p_h))</f>
        <v/>
      </c>
      <c r="O13" s="16">
        <f>IF(Mask!O13=1,0,(Psi!O12-Psi!O14)/(2*p_h))</f>
        <v/>
      </c>
      <c r="P13" s="16">
        <f>IF(Mask!P13=1,0,(Psi!P12-Psi!P14)/(2*p_h))</f>
        <v/>
      </c>
      <c r="Q13" s="16">
        <f>IF(Mask!Q13=1,0,(Psi!Q12-Psi!Q14)/(2*p_h))</f>
        <v/>
      </c>
      <c r="R13" s="16">
        <f>IF(Mask!R13=1,0,(Psi!R12-Psi!R14)/(2*p_h))</f>
        <v/>
      </c>
      <c r="S13" s="16">
        <f>IF(Mask!S13=1,0,(Psi!S12-Psi!S14)/(2*p_h))</f>
        <v/>
      </c>
      <c r="T13" s="16">
        <f>IF(Mask!T13=1,0,(Psi!T12-Psi!T14)/(2*p_h))</f>
        <v/>
      </c>
      <c r="U13" s="16">
        <f>IF(Mask!U13=1,0,(Psi!U12-Psi!U14)/(2*p_h))</f>
        <v/>
      </c>
      <c r="V13" s="16">
        <f>IF(Mask!V13=1,0,(Psi!V12-Psi!V14)/(2*p_h))</f>
        <v/>
      </c>
      <c r="W13" s="16">
        <f>IF(Mask!W13=1,0,(Psi!W12-Psi!W14)/(2*p_h))</f>
        <v/>
      </c>
      <c r="X13" s="16">
        <f>IF(Mask!X13=1,0,(Psi!X12-Psi!X14)/(2*p_h))</f>
        <v/>
      </c>
      <c r="Y13" s="16">
        <f>IF(Mask!Y13=1,0,(Psi!Y12-Psi!Y14)/(2*p_h))</f>
        <v/>
      </c>
      <c r="Z13" s="16">
        <f>IF(Mask!Z13=1,0,(Psi!Z12-Psi!Z14)/(2*p_h))</f>
        <v/>
      </c>
      <c r="AA13" s="16">
        <f>IF(Mask!AA13=1,0,(Psi!AA12-Psi!AA14)/(2*p_h))</f>
        <v/>
      </c>
      <c r="AB13" s="16">
        <f>IF(Mask!AB13=1,0,(Psi!AB12-Psi!AB14)/(2*p_h))</f>
        <v/>
      </c>
      <c r="AC13" s="16">
        <f>IF(Mask!AC13=1,0,(Psi!AC12-Psi!AC14)/(2*p_h))</f>
        <v/>
      </c>
      <c r="AD13" s="16">
        <f>IF(Mask!AD13=1,0,(Psi!AD12-Psi!AD14)/(2*p_h))</f>
        <v/>
      </c>
      <c r="AE13" s="16">
        <f>IF(Mask!AE13=1,0,(Psi!AE12-Psi!AE14)/(2*p_h))</f>
        <v/>
      </c>
      <c r="AF13" s="16">
        <f>IF(Mask!AF13=1,0,(Psi!AF12-Psi!AF14)/(2*p_h))</f>
        <v/>
      </c>
      <c r="AG13" s="16">
        <f>IF(Mask!AG13=1,0,(Psi!AG12-Psi!AG14)/(2*p_h))</f>
        <v/>
      </c>
      <c r="AH13" s="16">
        <f>IF(Mask!AH13=1,0,(Psi!AH12-Psi!AH14)/(2*p_h))</f>
        <v/>
      </c>
      <c r="AI13" s="16">
        <f>IF(Mask!AI13=1,0,(Psi!AI12-Psi!AI14)/(2*p_h))</f>
        <v/>
      </c>
      <c r="AJ13" s="16">
        <f>IF(Mask!AJ13=1,0,(Psi!AJ12-Psi!AJ14)/(2*p_h))</f>
        <v/>
      </c>
      <c r="AK13" s="16">
        <f>IF(Mask!AK13=1,0,(Psi!AK12-Psi!AK14)/(2*p_h))</f>
        <v/>
      </c>
      <c r="AL13" s="16">
        <f>IF(Mask!AL13=1,0,(Psi!AL12-Psi!AL14)/(2*p_h))</f>
        <v/>
      </c>
      <c r="AM13" s="16">
        <f>IF(Mask!AM13=1,0,(Psi!AM12-Psi!AM14)/(2*p_h))</f>
        <v/>
      </c>
      <c r="AN13" s="16">
        <f>IF(Mask!AN13=1,0,(Psi!AN12-Psi!AN14)/(2*p_h))</f>
        <v/>
      </c>
      <c r="AO13" s="16">
        <f>IF(Mask!AO13=1,0,(Psi!AO12-Psi!AO14)/(2*p_h))</f>
        <v/>
      </c>
      <c r="AP13" s="16">
        <f>IF(Mask!AP13=1,0,(Psi!AP12-Psi!AP14)/(2*p_h))</f>
        <v/>
      </c>
    </row>
    <row r="14">
      <c r="A14" s="7">
        <f>A13-p_h</f>
        <v/>
      </c>
      <c r="B14" s="16">
        <f>IF(Mask!B14=1,0,(Psi!B13-Psi!B15)/(2*p_h))</f>
        <v/>
      </c>
      <c r="C14" s="16">
        <f>IF(Mask!C14=1,0,(Psi!C13-Psi!C15)/(2*p_h))</f>
        <v/>
      </c>
      <c r="D14" s="16">
        <f>IF(Mask!D14=1,0,(Psi!D13-Psi!D15)/(2*p_h))</f>
        <v/>
      </c>
      <c r="E14" s="16">
        <f>IF(Mask!E14=1,0,(Psi!E13-Psi!E15)/(2*p_h))</f>
        <v/>
      </c>
      <c r="F14" s="16">
        <f>IF(Mask!F14=1,0,(Psi!F13-Psi!F15)/(2*p_h))</f>
        <v/>
      </c>
      <c r="G14" s="16">
        <f>IF(Mask!G14=1,0,(Psi!G13-Psi!G15)/(2*p_h))</f>
        <v/>
      </c>
      <c r="H14" s="16">
        <f>IF(Mask!H14=1,0,(Psi!H13-Psi!H15)/(2*p_h))</f>
        <v/>
      </c>
      <c r="I14" s="16">
        <f>IF(Mask!I14=1,0,(Psi!I13-Psi!I15)/(2*p_h))</f>
        <v/>
      </c>
      <c r="J14" s="16">
        <f>IF(Mask!J14=1,0,(Psi!J13-Psi!J15)/(2*p_h))</f>
        <v/>
      </c>
      <c r="K14" s="16">
        <f>IF(Mask!K14=1,0,(Psi!K13-Psi!K15)/(2*p_h))</f>
        <v/>
      </c>
      <c r="L14" s="16">
        <f>IF(Mask!L14=1,0,(Psi!L13-Psi!L15)/(2*p_h))</f>
        <v/>
      </c>
      <c r="M14" s="16">
        <f>IF(Mask!M14=1,0,(Psi!M13-Psi!M15)/(2*p_h))</f>
        <v/>
      </c>
      <c r="N14" s="16">
        <f>IF(Mask!N14=1,0,(Psi!N13-Psi!N15)/(2*p_h))</f>
        <v/>
      </c>
      <c r="O14" s="16">
        <f>IF(Mask!O14=1,0,(Psi!O13-Psi!O15)/(2*p_h))</f>
        <v/>
      </c>
      <c r="P14" s="16">
        <f>IF(Mask!P14=1,0,(Psi!P13-Psi!P15)/(2*p_h))</f>
        <v/>
      </c>
      <c r="Q14" s="16">
        <f>IF(Mask!Q14=1,0,(Psi!Q13-Psi!Q15)/(2*p_h))</f>
        <v/>
      </c>
      <c r="R14" s="16">
        <f>IF(Mask!R14=1,0,(Psi!R13-Psi!R15)/(2*p_h))</f>
        <v/>
      </c>
      <c r="S14" s="16">
        <f>IF(Mask!S14=1,0,(Psi!S13-Psi!S15)/(2*p_h))</f>
        <v/>
      </c>
      <c r="T14" s="16">
        <f>IF(Mask!T14=1,0,(Psi!T13-Psi!T15)/(2*p_h))</f>
        <v/>
      </c>
      <c r="U14" s="16">
        <f>IF(Mask!U14=1,0,(Psi!U13-Psi!U15)/(2*p_h))</f>
        <v/>
      </c>
      <c r="V14" s="16">
        <f>IF(Mask!V14=1,0,(Psi!V13-Psi!V15)/(2*p_h))</f>
        <v/>
      </c>
      <c r="W14" s="16">
        <f>IF(Mask!W14=1,0,(Psi!W13-Psi!W15)/(2*p_h))</f>
        <v/>
      </c>
      <c r="X14" s="16">
        <f>IF(Mask!X14=1,0,(Psi!X13-Psi!X15)/(2*p_h))</f>
        <v/>
      </c>
      <c r="Y14" s="16">
        <f>IF(Mask!Y14=1,0,(Psi!Y13-Psi!Y15)/(2*p_h))</f>
        <v/>
      </c>
      <c r="Z14" s="16">
        <f>IF(Mask!Z14=1,0,(Psi!Z13-Psi!Z15)/(2*p_h))</f>
        <v/>
      </c>
      <c r="AA14" s="16">
        <f>IF(Mask!AA14=1,0,(Psi!AA13-Psi!AA15)/(2*p_h))</f>
        <v/>
      </c>
      <c r="AB14" s="16">
        <f>IF(Mask!AB14=1,0,(Psi!AB13-Psi!AB15)/(2*p_h))</f>
        <v/>
      </c>
      <c r="AC14" s="16">
        <f>IF(Mask!AC14=1,0,(Psi!AC13-Psi!AC15)/(2*p_h))</f>
        <v/>
      </c>
      <c r="AD14" s="16">
        <f>IF(Mask!AD14=1,0,(Psi!AD13-Psi!AD15)/(2*p_h))</f>
        <v/>
      </c>
      <c r="AE14" s="16">
        <f>IF(Mask!AE14=1,0,(Psi!AE13-Psi!AE15)/(2*p_h))</f>
        <v/>
      </c>
      <c r="AF14" s="16">
        <f>IF(Mask!AF14=1,0,(Psi!AF13-Psi!AF15)/(2*p_h))</f>
        <v/>
      </c>
      <c r="AG14" s="16">
        <f>IF(Mask!AG14=1,0,(Psi!AG13-Psi!AG15)/(2*p_h))</f>
        <v/>
      </c>
      <c r="AH14" s="16">
        <f>IF(Mask!AH14=1,0,(Psi!AH13-Psi!AH15)/(2*p_h))</f>
        <v/>
      </c>
      <c r="AI14" s="16">
        <f>IF(Mask!AI14=1,0,(Psi!AI13-Psi!AI15)/(2*p_h))</f>
        <v/>
      </c>
      <c r="AJ14" s="16">
        <f>IF(Mask!AJ14=1,0,(Psi!AJ13-Psi!AJ15)/(2*p_h))</f>
        <v/>
      </c>
      <c r="AK14" s="16">
        <f>IF(Mask!AK14=1,0,(Psi!AK13-Psi!AK15)/(2*p_h))</f>
        <v/>
      </c>
      <c r="AL14" s="16">
        <f>IF(Mask!AL14=1,0,(Psi!AL13-Psi!AL15)/(2*p_h))</f>
        <v/>
      </c>
      <c r="AM14" s="16">
        <f>IF(Mask!AM14=1,0,(Psi!AM13-Psi!AM15)/(2*p_h))</f>
        <v/>
      </c>
      <c r="AN14" s="16">
        <f>IF(Mask!AN14=1,0,(Psi!AN13-Psi!AN15)/(2*p_h))</f>
        <v/>
      </c>
      <c r="AO14" s="16">
        <f>IF(Mask!AO14=1,0,(Psi!AO13-Psi!AO15)/(2*p_h))</f>
        <v/>
      </c>
      <c r="AP14" s="16">
        <f>IF(Mask!AP14=1,0,(Psi!AP13-Psi!AP15)/(2*p_h))</f>
        <v/>
      </c>
    </row>
    <row r="15">
      <c r="A15" s="7">
        <f>A14-p_h</f>
        <v/>
      </c>
      <c r="B15" s="16">
        <f>IF(Mask!B15=1,0,(Psi!B14-Psi!B16)/(2*p_h))</f>
        <v/>
      </c>
      <c r="C15" s="16">
        <f>IF(Mask!C15=1,0,(Psi!C14-Psi!C16)/(2*p_h))</f>
        <v/>
      </c>
      <c r="D15" s="16">
        <f>IF(Mask!D15=1,0,(Psi!D14-Psi!D16)/(2*p_h))</f>
        <v/>
      </c>
      <c r="E15" s="16">
        <f>IF(Mask!E15=1,0,(Psi!E14-Psi!E16)/(2*p_h))</f>
        <v/>
      </c>
      <c r="F15" s="16">
        <f>IF(Mask!F15=1,0,(Psi!F14-Psi!F16)/(2*p_h))</f>
        <v/>
      </c>
      <c r="G15" s="16">
        <f>IF(Mask!G15=1,0,(Psi!G14-Psi!G16)/(2*p_h))</f>
        <v/>
      </c>
      <c r="H15" s="16">
        <f>IF(Mask!H15=1,0,(Psi!H14-Psi!H16)/(2*p_h))</f>
        <v/>
      </c>
      <c r="I15" s="16">
        <f>IF(Mask!I15=1,0,(Psi!I14-Psi!I16)/(2*p_h))</f>
        <v/>
      </c>
      <c r="J15" s="16">
        <f>IF(Mask!J15=1,0,(Psi!J14-Psi!J16)/(2*p_h))</f>
        <v/>
      </c>
      <c r="K15" s="16">
        <f>IF(Mask!K15=1,0,(Psi!K14-Psi!K16)/(2*p_h))</f>
        <v/>
      </c>
      <c r="L15" s="16">
        <f>IF(Mask!L15=1,0,(Psi!L14-Psi!L16)/(2*p_h))</f>
        <v/>
      </c>
      <c r="M15" s="16">
        <f>IF(Mask!M15=1,0,(Psi!M14-Psi!M16)/(2*p_h))</f>
        <v/>
      </c>
      <c r="N15" s="16">
        <f>IF(Mask!N15=1,0,(Psi!N14-Psi!N16)/(2*p_h))</f>
        <v/>
      </c>
      <c r="O15" s="16">
        <f>IF(Mask!O15=1,0,(Psi!O14-Psi!O16)/(2*p_h))</f>
        <v/>
      </c>
      <c r="P15" s="16">
        <f>IF(Mask!P15=1,0,(Psi!P14-Psi!P16)/(2*p_h))</f>
        <v/>
      </c>
      <c r="Q15" s="16">
        <f>IF(Mask!Q15=1,0,(Psi!Q14-Psi!Q16)/(2*p_h))</f>
        <v/>
      </c>
      <c r="R15" s="16">
        <f>IF(Mask!R15=1,0,(Psi!R14-Psi!R16)/(2*p_h))</f>
        <v/>
      </c>
      <c r="S15" s="16">
        <f>IF(Mask!S15=1,0,(Psi!S14-Psi!S16)/(2*p_h))</f>
        <v/>
      </c>
      <c r="T15" s="16">
        <f>IF(Mask!T15=1,0,(Psi!T14-Psi!T16)/(2*p_h))</f>
        <v/>
      </c>
      <c r="U15" s="16">
        <f>IF(Mask!U15=1,0,(Psi!U14-Psi!U16)/(2*p_h))</f>
        <v/>
      </c>
      <c r="V15" s="16">
        <f>IF(Mask!V15=1,0,(Psi!V14-Psi!V16)/(2*p_h))</f>
        <v/>
      </c>
      <c r="W15" s="16">
        <f>IF(Mask!W15=1,0,(Psi!W14-Psi!W16)/(2*p_h))</f>
        <v/>
      </c>
      <c r="X15" s="16">
        <f>IF(Mask!X15=1,0,(Psi!X14-Psi!X16)/(2*p_h))</f>
        <v/>
      </c>
      <c r="Y15" s="16">
        <f>IF(Mask!Y15=1,0,(Psi!Y14-Psi!Y16)/(2*p_h))</f>
        <v/>
      </c>
      <c r="Z15" s="16">
        <f>IF(Mask!Z15=1,0,(Psi!Z14-Psi!Z16)/(2*p_h))</f>
        <v/>
      </c>
      <c r="AA15" s="16">
        <f>IF(Mask!AA15=1,0,(Psi!AA14-Psi!AA16)/(2*p_h))</f>
        <v/>
      </c>
      <c r="AB15" s="16">
        <f>IF(Mask!AB15=1,0,(Psi!AB14-Psi!AB16)/(2*p_h))</f>
        <v/>
      </c>
      <c r="AC15" s="16">
        <f>IF(Mask!AC15=1,0,(Psi!AC14-Psi!AC16)/(2*p_h))</f>
        <v/>
      </c>
      <c r="AD15" s="16">
        <f>IF(Mask!AD15=1,0,(Psi!AD14-Psi!AD16)/(2*p_h))</f>
        <v/>
      </c>
      <c r="AE15" s="16">
        <f>IF(Mask!AE15=1,0,(Psi!AE14-Psi!AE16)/(2*p_h))</f>
        <v/>
      </c>
      <c r="AF15" s="16">
        <f>IF(Mask!AF15=1,0,(Psi!AF14-Psi!AF16)/(2*p_h))</f>
        <v/>
      </c>
      <c r="AG15" s="16">
        <f>IF(Mask!AG15=1,0,(Psi!AG14-Psi!AG16)/(2*p_h))</f>
        <v/>
      </c>
      <c r="AH15" s="16">
        <f>IF(Mask!AH15=1,0,(Psi!AH14-Psi!AH16)/(2*p_h))</f>
        <v/>
      </c>
      <c r="AI15" s="16">
        <f>IF(Mask!AI15=1,0,(Psi!AI14-Psi!AI16)/(2*p_h))</f>
        <v/>
      </c>
      <c r="AJ15" s="16">
        <f>IF(Mask!AJ15=1,0,(Psi!AJ14-Psi!AJ16)/(2*p_h))</f>
        <v/>
      </c>
      <c r="AK15" s="16">
        <f>IF(Mask!AK15=1,0,(Psi!AK14-Psi!AK16)/(2*p_h))</f>
        <v/>
      </c>
      <c r="AL15" s="16">
        <f>IF(Mask!AL15=1,0,(Psi!AL14-Psi!AL16)/(2*p_h))</f>
        <v/>
      </c>
      <c r="AM15" s="16">
        <f>IF(Mask!AM15=1,0,(Psi!AM14-Psi!AM16)/(2*p_h))</f>
        <v/>
      </c>
      <c r="AN15" s="16">
        <f>IF(Mask!AN15=1,0,(Psi!AN14-Psi!AN16)/(2*p_h))</f>
        <v/>
      </c>
      <c r="AO15" s="16">
        <f>IF(Mask!AO15=1,0,(Psi!AO14-Psi!AO16)/(2*p_h))</f>
        <v/>
      </c>
      <c r="AP15" s="16">
        <f>IF(Mask!AP15=1,0,(Psi!AP14-Psi!AP16)/(2*p_h))</f>
        <v/>
      </c>
    </row>
    <row r="16">
      <c r="A16" s="7">
        <f>A15-p_h</f>
        <v/>
      </c>
      <c r="B16" s="16">
        <f>IF(Mask!B16=1,0,(Psi!B15-Psi!B17)/(2*p_h))</f>
        <v/>
      </c>
      <c r="C16" s="16">
        <f>IF(Mask!C16=1,0,(Psi!C15-Psi!C17)/(2*p_h))</f>
        <v/>
      </c>
      <c r="D16" s="16">
        <f>IF(Mask!D16=1,0,(Psi!D15-Psi!D17)/(2*p_h))</f>
        <v/>
      </c>
      <c r="E16" s="16">
        <f>IF(Mask!E16=1,0,(Psi!E15-Psi!E17)/(2*p_h))</f>
        <v/>
      </c>
      <c r="F16" s="16">
        <f>IF(Mask!F16=1,0,(Psi!F15-Psi!F17)/(2*p_h))</f>
        <v/>
      </c>
      <c r="G16" s="16">
        <f>IF(Mask!G16=1,0,(Psi!G15-Psi!G17)/(2*p_h))</f>
        <v/>
      </c>
      <c r="H16" s="16">
        <f>IF(Mask!H16=1,0,(Psi!H15-Psi!H17)/(2*p_h))</f>
        <v/>
      </c>
      <c r="I16" s="16">
        <f>IF(Mask!I16=1,0,(Psi!I15-Psi!I17)/(2*p_h))</f>
        <v/>
      </c>
      <c r="J16" s="16">
        <f>IF(Mask!J16=1,0,(Psi!J15-Psi!J17)/(2*p_h))</f>
        <v/>
      </c>
      <c r="K16" s="16">
        <f>IF(Mask!K16=1,0,(Psi!K15-Psi!K17)/(2*p_h))</f>
        <v/>
      </c>
      <c r="L16" s="16">
        <f>IF(Mask!L16=1,0,(Psi!L15-Psi!L17)/(2*p_h))</f>
        <v/>
      </c>
      <c r="M16" s="16">
        <f>IF(Mask!M16=1,0,(Psi!M15-Psi!M17)/(2*p_h))</f>
        <v/>
      </c>
      <c r="N16" s="16">
        <f>IF(Mask!N16=1,0,(Psi!N15-Psi!N17)/(2*p_h))</f>
        <v/>
      </c>
      <c r="O16" s="16">
        <f>IF(Mask!O16=1,0,(Psi!O15-Psi!O17)/(2*p_h))</f>
        <v/>
      </c>
      <c r="P16" s="16">
        <f>IF(Mask!P16=1,0,(Psi!P15-Psi!P17)/(2*p_h))</f>
        <v/>
      </c>
      <c r="Q16" s="16">
        <f>IF(Mask!Q16=1,0,(Psi!Q15-Psi!Q17)/(2*p_h))</f>
        <v/>
      </c>
      <c r="R16" s="16">
        <f>IF(Mask!R16=1,0,(Psi!R15-Psi!R17)/(2*p_h))</f>
        <v/>
      </c>
      <c r="S16" s="16">
        <f>IF(Mask!S16=1,0,(Psi!S15-Psi!S17)/(2*p_h))</f>
        <v/>
      </c>
      <c r="T16" s="16">
        <f>IF(Mask!T16=1,0,(Psi!T15-Psi!T17)/(2*p_h))</f>
        <v/>
      </c>
      <c r="U16" s="16">
        <f>IF(Mask!U16=1,0,(Psi!U15-Psi!U17)/(2*p_h))</f>
        <v/>
      </c>
      <c r="V16" s="16">
        <f>IF(Mask!V16=1,0,(Psi!V15-Psi!V17)/(2*p_h))</f>
        <v/>
      </c>
      <c r="W16" s="16">
        <f>IF(Mask!W16=1,0,(Psi!W15-Psi!W17)/(2*p_h))</f>
        <v/>
      </c>
      <c r="X16" s="16">
        <f>IF(Mask!X16=1,0,(Psi!X15-Psi!X17)/(2*p_h))</f>
        <v/>
      </c>
      <c r="Y16" s="16">
        <f>IF(Mask!Y16=1,0,(Psi!Y15-Psi!Y17)/(2*p_h))</f>
        <v/>
      </c>
      <c r="Z16" s="16">
        <f>IF(Mask!Z16=1,0,(Psi!Z15-Psi!Z17)/(2*p_h))</f>
        <v/>
      </c>
      <c r="AA16" s="16">
        <f>IF(Mask!AA16=1,0,(Psi!AA15-Psi!AA17)/(2*p_h))</f>
        <v/>
      </c>
      <c r="AB16" s="16">
        <f>IF(Mask!AB16=1,0,(Psi!AB15-Psi!AB17)/(2*p_h))</f>
        <v/>
      </c>
      <c r="AC16" s="16">
        <f>IF(Mask!AC16=1,0,(Psi!AC15-Psi!AC17)/(2*p_h))</f>
        <v/>
      </c>
      <c r="AD16" s="16">
        <f>IF(Mask!AD16=1,0,(Psi!AD15-Psi!AD17)/(2*p_h))</f>
        <v/>
      </c>
      <c r="AE16" s="16">
        <f>IF(Mask!AE16=1,0,(Psi!AE15-Psi!AE17)/(2*p_h))</f>
        <v/>
      </c>
      <c r="AF16" s="16">
        <f>IF(Mask!AF16=1,0,(Psi!AF15-Psi!AF17)/(2*p_h))</f>
        <v/>
      </c>
      <c r="AG16" s="16">
        <f>IF(Mask!AG16=1,0,(Psi!AG15-Psi!AG17)/(2*p_h))</f>
        <v/>
      </c>
      <c r="AH16" s="16">
        <f>IF(Mask!AH16=1,0,(Psi!AH15-Psi!AH17)/(2*p_h))</f>
        <v/>
      </c>
      <c r="AI16" s="16">
        <f>IF(Mask!AI16=1,0,(Psi!AI15-Psi!AI17)/(2*p_h))</f>
        <v/>
      </c>
      <c r="AJ16" s="16">
        <f>IF(Mask!AJ16=1,0,(Psi!AJ15-Psi!AJ17)/(2*p_h))</f>
        <v/>
      </c>
      <c r="AK16" s="16">
        <f>IF(Mask!AK16=1,0,(Psi!AK15-Psi!AK17)/(2*p_h))</f>
        <v/>
      </c>
      <c r="AL16" s="16">
        <f>IF(Mask!AL16=1,0,(Psi!AL15-Psi!AL17)/(2*p_h))</f>
        <v/>
      </c>
      <c r="AM16" s="16">
        <f>IF(Mask!AM16=1,0,(Psi!AM15-Psi!AM17)/(2*p_h))</f>
        <v/>
      </c>
      <c r="AN16" s="16">
        <f>IF(Mask!AN16=1,0,(Psi!AN15-Psi!AN17)/(2*p_h))</f>
        <v/>
      </c>
      <c r="AO16" s="16">
        <f>IF(Mask!AO16=1,0,(Psi!AO15-Psi!AO17)/(2*p_h))</f>
        <v/>
      </c>
      <c r="AP16" s="16">
        <f>IF(Mask!AP16=1,0,(Psi!AP15-Psi!AP17)/(2*p_h))</f>
        <v/>
      </c>
    </row>
    <row r="17">
      <c r="A17" s="7">
        <f>A16-p_h</f>
        <v/>
      </c>
      <c r="B17" s="16">
        <f>IF(Mask!B17=1,0,(Psi!B16-Psi!B18)/(2*p_h))</f>
        <v/>
      </c>
      <c r="C17" s="16">
        <f>IF(Mask!C17=1,0,(Psi!C16-Psi!C18)/(2*p_h))</f>
        <v/>
      </c>
      <c r="D17" s="16">
        <f>IF(Mask!D17=1,0,(Psi!D16-Psi!D18)/(2*p_h))</f>
        <v/>
      </c>
      <c r="E17" s="16">
        <f>IF(Mask!E17=1,0,(Psi!E16-Psi!E18)/(2*p_h))</f>
        <v/>
      </c>
      <c r="F17" s="16">
        <f>IF(Mask!F17=1,0,(Psi!F16-Psi!F18)/(2*p_h))</f>
        <v/>
      </c>
      <c r="G17" s="16">
        <f>IF(Mask!G17=1,0,(Psi!G16-Psi!G18)/(2*p_h))</f>
        <v/>
      </c>
      <c r="H17" s="16">
        <f>IF(Mask!H17=1,0,(Psi!H16-Psi!H18)/(2*p_h))</f>
        <v/>
      </c>
      <c r="I17" s="16">
        <f>IF(Mask!I17=1,0,(Psi!I16-Psi!I18)/(2*p_h))</f>
        <v/>
      </c>
      <c r="J17" s="16">
        <f>IF(Mask!J17=1,0,(Psi!J16-Psi!J18)/(2*p_h))</f>
        <v/>
      </c>
      <c r="K17" s="16">
        <f>IF(Mask!K17=1,0,(Psi!K16-Psi!K18)/(2*p_h))</f>
        <v/>
      </c>
      <c r="L17" s="16">
        <f>IF(Mask!L17=1,0,(Psi!L16-Psi!L18)/(2*p_h))</f>
        <v/>
      </c>
      <c r="M17" s="16">
        <f>IF(Mask!M17=1,0,(Psi!M16-Psi!M18)/(2*p_h))</f>
        <v/>
      </c>
      <c r="N17" s="16">
        <f>IF(Mask!N17=1,0,(Psi!N16-Psi!N18)/(2*p_h))</f>
        <v/>
      </c>
      <c r="O17" s="16">
        <f>IF(Mask!O17=1,0,(Psi!O16-Psi!O18)/(2*p_h))</f>
        <v/>
      </c>
      <c r="P17" s="16">
        <f>IF(Mask!P17=1,0,(Psi!P16-Psi!P18)/(2*p_h))</f>
        <v/>
      </c>
      <c r="Q17" s="16">
        <f>IF(Mask!Q17=1,0,(Psi!Q16-Psi!Q18)/(2*p_h))</f>
        <v/>
      </c>
      <c r="R17" s="16">
        <f>IF(Mask!R17=1,0,(Psi!R16-Psi!R18)/(2*p_h))</f>
        <v/>
      </c>
      <c r="S17" s="16">
        <f>IF(Mask!S17=1,0,(Psi!S16-Psi!S18)/(2*p_h))</f>
        <v/>
      </c>
      <c r="T17" s="16">
        <f>IF(Mask!T17=1,0,(Psi!T16-Psi!T18)/(2*p_h))</f>
        <v/>
      </c>
      <c r="U17" s="16">
        <f>IF(Mask!U17=1,0,(Psi!U16-Psi!U18)/(2*p_h))</f>
        <v/>
      </c>
      <c r="V17" s="16">
        <f>IF(Mask!V17=1,0,(Psi!V16-Psi!V18)/(2*p_h))</f>
        <v/>
      </c>
      <c r="W17" s="16">
        <f>IF(Mask!W17=1,0,(Psi!W16-Psi!W18)/(2*p_h))</f>
        <v/>
      </c>
      <c r="X17" s="16">
        <f>IF(Mask!X17=1,0,(Psi!X16-Psi!X18)/(2*p_h))</f>
        <v/>
      </c>
      <c r="Y17" s="16">
        <f>IF(Mask!Y17=1,0,(Psi!Y16-Psi!Y18)/(2*p_h))</f>
        <v/>
      </c>
      <c r="Z17" s="16">
        <f>IF(Mask!Z17=1,0,(Psi!Z16-Psi!Z18)/(2*p_h))</f>
        <v/>
      </c>
      <c r="AA17" s="16">
        <f>IF(Mask!AA17=1,0,(Psi!AA16-Psi!AA18)/(2*p_h))</f>
        <v/>
      </c>
      <c r="AB17" s="16">
        <f>IF(Mask!AB17=1,0,(Psi!AB16-Psi!AB18)/(2*p_h))</f>
        <v/>
      </c>
      <c r="AC17" s="16">
        <f>IF(Mask!AC17=1,0,(Psi!AC16-Psi!AC18)/(2*p_h))</f>
        <v/>
      </c>
      <c r="AD17" s="16">
        <f>IF(Mask!AD17=1,0,(Psi!AD16-Psi!AD18)/(2*p_h))</f>
        <v/>
      </c>
      <c r="AE17" s="16">
        <f>IF(Mask!AE17=1,0,(Psi!AE16-Psi!AE18)/(2*p_h))</f>
        <v/>
      </c>
      <c r="AF17" s="16">
        <f>IF(Mask!AF17=1,0,(Psi!AF16-Psi!AF18)/(2*p_h))</f>
        <v/>
      </c>
      <c r="AG17" s="16">
        <f>IF(Mask!AG17=1,0,(Psi!AG16-Psi!AG18)/(2*p_h))</f>
        <v/>
      </c>
      <c r="AH17" s="16">
        <f>IF(Mask!AH17=1,0,(Psi!AH16-Psi!AH18)/(2*p_h))</f>
        <v/>
      </c>
      <c r="AI17" s="16">
        <f>IF(Mask!AI17=1,0,(Psi!AI16-Psi!AI18)/(2*p_h))</f>
        <v/>
      </c>
      <c r="AJ17" s="16">
        <f>IF(Mask!AJ17=1,0,(Psi!AJ16-Psi!AJ18)/(2*p_h))</f>
        <v/>
      </c>
      <c r="AK17" s="16">
        <f>IF(Mask!AK17=1,0,(Psi!AK16-Psi!AK18)/(2*p_h))</f>
        <v/>
      </c>
      <c r="AL17" s="16">
        <f>IF(Mask!AL17=1,0,(Psi!AL16-Psi!AL18)/(2*p_h))</f>
        <v/>
      </c>
      <c r="AM17" s="16">
        <f>IF(Mask!AM17=1,0,(Psi!AM16-Psi!AM18)/(2*p_h))</f>
        <v/>
      </c>
      <c r="AN17" s="16">
        <f>IF(Mask!AN17=1,0,(Psi!AN16-Psi!AN18)/(2*p_h))</f>
        <v/>
      </c>
      <c r="AO17" s="16">
        <f>IF(Mask!AO17=1,0,(Psi!AO16-Psi!AO18)/(2*p_h))</f>
        <v/>
      </c>
      <c r="AP17" s="16">
        <f>IF(Mask!AP17=1,0,(Psi!AP16-Psi!AP18)/(2*p_h))</f>
        <v/>
      </c>
    </row>
    <row r="18">
      <c r="A18" s="7">
        <f>A17-p_h</f>
        <v/>
      </c>
      <c r="B18" s="16">
        <f>IF(Mask!B18=1,0,(Psi!B17-Psi!B19)/(2*p_h))</f>
        <v/>
      </c>
      <c r="C18" s="16">
        <f>IF(Mask!C18=1,0,(Psi!C17-Psi!C19)/(2*p_h))</f>
        <v/>
      </c>
      <c r="D18" s="16">
        <f>IF(Mask!D18=1,0,(Psi!D17-Psi!D19)/(2*p_h))</f>
        <v/>
      </c>
      <c r="E18" s="16">
        <f>IF(Mask!E18=1,0,(Psi!E17-Psi!E19)/(2*p_h))</f>
        <v/>
      </c>
      <c r="F18" s="16">
        <f>IF(Mask!F18=1,0,(Psi!F17-Psi!F19)/(2*p_h))</f>
        <v/>
      </c>
      <c r="G18" s="16">
        <f>IF(Mask!G18=1,0,(Psi!G17-Psi!G19)/(2*p_h))</f>
        <v/>
      </c>
      <c r="H18" s="16">
        <f>IF(Mask!H18=1,0,(Psi!H17-Psi!H19)/(2*p_h))</f>
        <v/>
      </c>
      <c r="I18" s="16">
        <f>IF(Mask!I18=1,0,(Psi!I17-Psi!I19)/(2*p_h))</f>
        <v/>
      </c>
      <c r="J18" s="16">
        <f>IF(Mask!J18=1,0,(Psi!J17-Psi!J19)/(2*p_h))</f>
        <v/>
      </c>
      <c r="K18" s="16">
        <f>IF(Mask!K18=1,0,(Psi!K17-Psi!K19)/(2*p_h))</f>
        <v/>
      </c>
      <c r="L18" s="16">
        <f>IF(Mask!L18=1,0,(Psi!L17-Psi!L19)/(2*p_h))</f>
        <v/>
      </c>
      <c r="M18" s="16">
        <f>IF(Mask!M18=1,0,(Psi!M17-Psi!M19)/(2*p_h))</f>
        <v/>
      </c>
      <c r="N18" s="16">
        <f>IF(Mask!N18=1,0,(Psi!N17-Psi!N19)/(2*p_h))</f>
        <v/>
      </c>
      <c r="O18" s="16">
        <f>IF(Mask!O18=1,0,(Psi!O17-Psi!O19)/(2*p_h))</f>
        <v/>
      </c>
      <c r="P18" s="16">
        <f>IF(Mask!P18=1,0,(Psi!P17-Psi!P19)/(2*p_h))</f>
        <v/>
      </c>
      <c r="Q18" s="16">
        <f>IF(Mask!Q18=1,0,(Psi!Q17-Psi!Q19)/(2*p_h))</f>
        <v/>
      </c>
      <c r="R18" s="16">
        <f>IF(Mask!R18=1,0,(Psi!R17-Psi!R19)/(2*p_h))</f>
        <v/>
      </c>
      <c r="S18" s="16">
        <f>IF(Mask!S18=1,0,(Psi!S17-Psi!S19)/(2*p_h))</f>
        <v/>
      </c>
      <c r="T18" s="16">
        <f>IF(Mask!T18=1,0,(Psi!T17-Psi!T19)/(2*p_h))</f>
        <v/>
      </c>
      <c r="U18" s="16">
        <f>IF(Mask!U18=1,0,(Psi!U17-Psi!U19)/(2*p_h))</f>
        <v/>
      </c>
      <c r="V18" s="16">
        <f>IF(Mask!V18=1,0,(Psi!V17-Psi!V19)/(2*p_h))</f>
        <v/>
      </c>
      <c r="W18" s="16">
        <f>IF(Mask!W18=1,0,(Psi!W17-Psi!W19)/(2*p_h))</f>
        <v/>
      </c>
      <c r="X18" s="16">
        <f>IF(Mask!X18=1,0,(Psi!X17-Psi!X19)/(2*p_h))</f>
        <v/>
      </c>
      <c r="Y18" s="16">
        <f>IF(Mask!Y18=1,0,(Psi!Y17-Psi!Y19)/(2*p_h))</f>
        <v/>
      </c>
      <c r="Z18" s="16">
        <f>IF(Mask!Z18=1,0,(Psi!Z17-Psi!Z19)/(2*p_h))</f>
        <v/>
      </c>
      <c r="AA18" s="16">
        <f>IF(Mask!AA18=1,0,(Psi!AA17-Psi!AA19)/(2*p_h))</f>
        <v/>
      </c>
      <c r="AB18" s="16">
        <f>IF(Mask!AB18=1,0,(Psi!AB17-Psi!AB19)/(2*p_h))</f>
        <v/>
      </c>
      <c r="AC18" s="16">
        <f>IF(Mask!AC18=1,0,(Psi!AC17-Psi!AC19)/(2*p_h))</f>
        <v/>
      </c>
      <c r="AD18" s="16">
        <f>IF(Mask!AD18=1,0,(Psi!AD17-Psi!AD19)/(2*p_h))</f>
        <v/>
      </c>
      <c r="AE18" s="16">
        <f>IF(Mask!AE18=1,0,(Psi!AE17-Psi!AE19)/(2*p_h))</f>
        <v/>
      </c>
      <c r="AF18" s="16">
        <f>IF(Mask!AF18=1,0,(Psi!AF17-Psi!AF19)/(2*p_h))</f>
        <v/>
      </c>
      <c r="AG18" s="16">
        <f>IF(Mask!AG18=1,0,(Psi!AG17-Psi!AG19)/(2*p_h))</f>
        <v/>
      </c>
      <c r="AH18" s="16">
        <f>IF(Mask!AH18=1,0,(Psi!AH17-Psi!AH19)/(2*p_h))</f>
        <v/>
      </c>
      <c r="AI18" s="16">
        <f>IF(Mask!AI18=1,0,(Psi!AI17-Psi!AI19)/(2*p_h))</f>
        <v/>
      </c>
      <c r="AJ18" s="16">
        <f>IF(Mask!AJ18=1,0,(Psi!AJ17-Psi!AJ19)/(2*p_h))</f>
        <v/>
      </c>
      <c r="AK18" s="16">
        <f>IF(Mask!AK18=1,0,(Psi!AK17-Psi!AK19)/(2*p_h))</f>
        <v/>
      </c>
      <c r="AL18" s="16">
        <f>IF(Mask!AL18=1,0,(Psi!AL17-Psi!AL19)/(2*p_h))</f>
        <v/>
      </c>
      <c r="AM18" s="16">
        <f>IF(Mask!AM18=1,0,(Psi!AM17-Psi!AM19)/(2*p_h))</f>
        <v/>
      </c>
      <c r="AN18" s="16">
        <f>IF(Mask!AN18=1,0,(Psi!AN17-Psi!AN19)/(2*p_h))</f>
        <v/>
      </c>
      <c r="AO18" s="16">
        <f>IF(Mask!AO18=1,0,(Psi!AO17-Psi!AO19)/(2*p_h))</f>
        <v/>
      </c>
      <c r="AP18" s="16">
        <f>IF(Mask!AP18=1,0,(Psi!AP17-Psi!AP19)/(2*p_h))</f>
        <v/>
      </c>
    </row>
    <row r="19">
      <c r="A19" s="7">
        <f>A18-p_h</f>
        <v/>
      </c>
      <c r="B19" s="16">
        <f>IF(Mask!B19=1,0,(Psi!B18-Psi!B20)/(2*p_h))</f>
        <v/>
      </c>
      <c r="C19" s="16">
        <f>IF(Mask!C19=1,0,(Psi!C18-Psi!C20)/(2*p_h))</f>
        <v/>
      </c>
      <c r="D19" s="16">
        <f>IF(Mask!D19=1,0,(Psi!D18-Psi!D20)/(2*p_h))</f>
        <v/>
      </c>
      <c r="E19" s="16">
        <f>IF(Mask!E19=1,0,(Psi!E18-Psi!E20)/(2*p_h))</f>
        <v/>
      </c>
      <c r="F19" s="16">
        <f>IF(Mask!F19=1,0,(Psi!F18-Psi!F20)/(2*p_h))</f>
        <v/>
      </c>
      <c r="G19" s="16">
        <f>IF(Mask!G19=1,0,(Psi!G18-Psi!G20)/(2*p_h))</f>
        <v/>
      </c>
      <c r="H19" s="16">
        <f>IF(Mask!H19=1,0,(Psi!H18-Psi!H20)/(2*p_h))</f>
        <v/>
      </c>
      <c r="I19" s="16">
        <f>IF(Mask!I19=1,0,(Psi!I18-Psi!I20)/(2*p_h))</f>
        <v/>
      </c>
      <c r="J19" s="16">
        <f>IF(Mask!J19=1,0,(Psi!J18-Psi!J20)/(2*p_h))</f>
        <v/>
      </c>
      <c r="K19" s="16">
        <f>IF(Mask!K19=1,0,(Psi!K18-Psi!K20)/(2*p_h))</f>
        <v/>
      </c>
      <c r="L19" s="16">
        <f>IF(Mask!L19=1,0,(Psi!L18-Psi!L20)/(2*p_h))</f>
        <v/>
      </c>
      <c r="M19" s="16">
        <f>IF(Mask!M19=1,0,(Psi!M18-Psi!M20)/(2*p_h))</f>
        <v/>
      </c>
      <c r="N19" s="16">
        <f>IF(Mask!N19=1,0,(Psi!N18-Psi!N20)/(2*p_h))</f>
        <v/>
      </c>
      <c r="O19" s="16">
        <f>IF(Mask!O19=1,0,(Psi!O18-Psi!O20)/(2*p_h))</f>
        <v/>
      </c>
      <c r="P19" s="16">
        <f>IF(Mask!P19=1,0,(Psi!P18-Psi!P20)/(2*p_h))</f>
        <v/>
      </c>
      <c r="Q19" s="16">
        <f>IF(Mask!Q19=1,0,(Psi!Q18-Psi!Q20)/(2*p_h))</f>
        <v/>
      </c>
      <c r="R19" s="16">
        <f>IF(Mask!R19=1,0,(Psi!R18-Psi!R20)/(2*p_h))</f>
        <v/>
      </c>
      <c r="S19" s="16">
        <f>IF(Mask!S19=1,0,(Psi!S18-Psi!S20)/(2*p_h))</f>
        <v/>
      </c>
      <c r="T19" s="16">
        <f>IF(Mask!T19=1,0,(Psi!T18-Psi!T20)/(2*p_h))</f>
        <v/>
      </c>
      <c r="U19" s="16">
        <f>IF(Mask!U19=1,0,(Psi!U18-Psi!U20)/(2*p_h))</f>
        <v/>
      </c>
      <c r="V19" s="16">
        <f>IF(Mask!V19=1,0,(Psi!V18-Psi!V20)/(2*p_h))</f>
        <v/>
      </c>
      <c r="W19" s="16">
        <f>IF(Mask!W19=1,0,(Psi!W18-Psi!W20)/(2*p_h))</f>
        <v/>
      </c>
      <c r="X19" s="16">
        <f>IF(Mask!X19=1,0,(Psi!X18-Psi!X20)/(2*p_h))</f>
        <v/>
      </c>
      <c r="Y19" s="16">
        <f>IF(Mask!Y19=1,0,(Psi!Y18-Psi!Y20)/(2*p_h))</f>
        <v/>
      </c>
      <c r="Z19" s="16">
        <f>IF(Mask!Z19=1,0,(Psi!Z18-Psi!Z20)/(2*p_h))</f>
        <v/>
      </c>
      <c r="AA19" s="16">
        <f>IF(Mask!AA19=1,0,(Psi!AA18-Psi!AA20)/(2*p_h))</f>
        <v/>
      </c>
      <c r="AB19" s="16">
        <f>IF(Mask!AB19=1,0,(Psi!AB18-Psi!AB20)/(2*p_h))</f>
        <v/>
      </c>
      <c r="AC19" s="16">
        <f>IF(Mask!AC19=1,0,(Psi!AC18-Psi!AC20)/(2*p_h))</f>
        <v/>
      </c>
      <c r="AD19" s="16">
        <f>IF(Mask!AD19=1,0,(Psi!AD18-Psi!AD20)/(2*p_h))</f>
        <v/>
      </c>
      <c r="AE19" s="16">
        <f>IF(Mask!AE19=1,0,(Psi!AE18-Psi!AE20)/(2*p_h))</f>
        <v/>
      </c>
      <c r="AF19" s="16">
        <f>IF(Mask!AF19=1,0,(Psi!AF18-Psi!AF20)/(2*p_h))</f>
        <v/>
      </c>
      <c r="AG19" s="16">
        <f>IF(Mask!AG19=1,0,(Psi!AG18-Psi!AG20)/(2*p_h))</f>
        <v/>
      </c>
      <c r="AH19" s="16">
        <f>IF(Mask!AH19=1,0,(Psi!AH18-Psi!AH20)/(2*p_h))</f>
        <v/>
      </c>
      <c r="AI19" s="16">
        <f>IF(Mask!AI19=1,0,(Psi!AI18-Psi!AI20)/(2*p_h))</f>
        <v/>
      </c>
      <c r="AJ19" s="16">
        <f>IF(Mask!AJ19=1,0,(Psi!AJ18-Psi!AJ20)/(2*p_h))</f>
        <v/>
      </c>
      <c r="AK19" s="16">
        <f>IF(Mask!AK19=1,0,(Psi!AK18-Psi!AK20)/(2*p_h))</f>
        <v/>
      </c>
      <c r="AL19" s="16">
        <f>IF(Mask!AL19=1,0,(Psi!AL18-Psi!AL20)/(2*p_h))</f>
        <v/>
      </c>
      <c r="AM19" s="16">
        <f>IF(Mask!AM19=1,0,(Psi!AM18-Psi!AM20)/(2*p_h))</f>
        <v/>
      </c>
      <c r="AN19" s="16">
        <f>IF(Mask!AN19=1,0,(Psi!AN18-Psi!AN20)/(2*p_h))</f>
        <v/>
      </c>
      <c r="AO19" s="16">
        <f>IF(Mask!AO19=1,0,(Psi!AO18-Psi!AO20)/(2*p_h))</f>
        <v/>
      </c>
      <c r="AP19" s="16">
        <f>IF(Mask!AP19=1,0,(Psi!AP18-Psi!AP20)/(2*p_h))</f>
        <v/>
      </c>
    </row>
    <row r="20">
      <c r="A20" s="7">
        <f>A19-p_h</f>
        <v/>
      </c>
      <c r="B20" s="16">
        <f>IF(Mask!B20=1,0,(Psi!B19-Psi!B21)/(2*p_h))</f>
        <v/>
      </c>
      <c r="C20" s="16">
        <f>IF(Mask!C20=1,0,(Psi!C19-Psi!C21)/(2*p_h))</f>
        <v/>
      </c>
      <c r="D20" s="16">
        <f>IF(Mask!D20=1,0,(Psi!D19-Psi!D21)/(2*p_h))</f>
        <v/>
      </c>
      <c r="E20" s="16">
        <f>IF(Mask!E20=1,0,(Psi!E19-Psi!E21)/(2*p_h))</f>
        <v/>
      </c>
      <c r="F20" s="16">
        <f>IF(Mask!F20=1,0,(Psi!F19-Psi!F21)/(2*p_h))</f>
        <v/>
      </c>
      <c r="G20" s="16">
        <f>IF(Mask!G20=1,0,(Psi!G19-Psi!G21)/(2*p_h))</f>
        <v/>
      </c>
      <c r="H20" s="16">
        <f>IF(Mask!H20=1,0,(Psi!H19-Psi!H21)/(2*p_h))</f>
        <v/>
      </c>
      <c r="I20" s="16">
        <f>IF(Mask!I20=1,0,(Psi!I19-Psi!I21)/(2*p_h))</f>
        <v/>
      </c>
      <c r="J20" s="16">
        <f>IF(Mask!J20=1,0,(Psi!J19-Psi!J21)/(2*p_h))</f>
        <v/>
      </c>
      <c r="K20" s="16">
        <f>IF(Mask!K20=1,0,(Psi!K19-Psi!K21)/(2*p_h))</f>
        <v/>
      </c>
      <c r="L20" s="16">
        <f>IF(Mask!L20=1,0,(Psi!L19-Psi!L21)/(2*p_h))</f>
        <v/>
      </c>
      <c r="M20" s="16">
        <f>IF(Mask!M20=1,0,(Psi!M19-Psi!M21)/(2*p_h))</f>
        <v/>
      </c>
      <c r="N20" s="16">
        <f>IF(Mask!N20=1,0,(Psi!N19-Psi!N21)/(2*p_h))</f>
        <v/>
      </c>
      <c r="O20" s="16">
        <f>IF(Mask!O20=1,0,(Psi!O19-Psi!O21)/(2*p_h))</f>
        <v/>
      </c>
      <c r="P20" s="16">
        <f>IF(Mask!P20=1,0,(Psi!P19-Psi!P21)/(2*p_h))</f>
        <v/>
      </c>
      <c r="Q20" s="16">
        <f>IF(Mask!Q20=1,0,(Psi!Q19-Psi!Q21)/(2*p_h))</f>
        <v/>
      </c>
      <c r="R20" s="16">
        <f>IF(Mask!R20=1,0,(Psi!R19-Psi!R21)/(2*p_h))</f>
        <v/>
      </c>
      <c r="S20" s="16">
        <f>IF(Mask!S20=1,0,(Psi!S19-Psi!S21)/(2*p_h))</f>
        <v/>
      </c>
      <c r="T20" s="16">
        <f>IF(Mask!T20=1,0,(Psi!T19-Psi!T21)/(2*p_h))</f>
        <v/>
      </c>
      <c r="U20" s="16">
        <f>IF(Mask!U20=1,0,(Psi!U19-Psi!U21)/(2*p_h))</f>
        <v/>
      </c>
      <c r="V20" s="16">
        <f>IF(Mask!V20=1,0,(Psi!V19-Psi!V21)/(2*p_h))</f>
        <v/>
      </c>
      <c r="W20" s="16">
        <f>IF(Mask!W20=1,0,(Psi!W19-Psi!W21)/(2*p_h))</f>
        <v/>
      </c>
      <c r="X20" s="16">
        <f>IF(Mask!X20=1,0,(Psi!X19-Psi!X21)/(2*p_h))</f>
        <v/>
      </c>
      <c r="Y20" s="16">
        <f>IF(Mask!Y20=1,0,(Psi!Y19-Psi!Y21)/(2*p_h))</f>
        <v/>
      </c>
      <c r="Z20" s="16">
        <f>IF(Mask!Z20=1,0,(Psi!Z19-Psi!Z21)/(2*p_h))</f>
        <v/>
      </c>
      <c r="AA20" s="16">
        <f>IF(Mask!AA20=1,0,(Psi!AA19-Psi!AA21)/(2*p_h))</f>
        <v/>
      </c>
      <c r="AB20" s="16">
        <f>IF(Mask!AB20=1,0,(Psi!AB19-Psi!AB21)/(2*p_h))</f>
        <v/>
      </c>
      <c r="AC20" s="16">
        <f>IF(Mask!AC20=1,0,(Psi!AC19-Psi!AC21)/(2*p_h))</f>
        <v/>
      </c>
      <c r="AD20" s="16">
        <f>IF(Mask!AD20=1,0,(Psi!AD19-Psi!AD21)/(2*p_h))</f>
        <v/>
      </c>
      <c r="AE20" s="16">
        <f>IF(Mask!AE20=1,0,(Psi!AE19-Psi!AE21)/(2*p_h))</f>
        <v/>
      </c>
      <c r="AF20" s="16">
        <f>IF(Mask!AF20=1,0,(Psi!AF19-Psi!AF21)/(2*p_h))</f>
        <v/>
      </c>
      <c r="AG20" s="16">
        <f>IF(Mask!AG20=1,0,(Psi!AG19-Psi!AG21)/(2*p_h))</f>
        <v/>
      </c>
      <c r="AH20" s="16">
        <f>IF(Mask!AH20=1,0,(Psi!AH19-Psi!AH21)/(2*p_h))</f>
        <v/>
      </c>
      <c r="AI20" s="16">
        <f>IF(Mask!AI20=1,0,(Psi!AI19-Psi!AI21)/(2*p_h))</f>
        <v/>
      </c>
      <c r="AJ20" s="16">
        <f>IF(Mask!AJ20=1,0,(Psi!AJ19-Psi!AJ21)/(2*p_h))</f>
        <v/>
      </c>
      <c r="AK20" s="16">
        <f>IF(Mask!AK20=1,0,(Psi!AK19-Psi!AK21)/(2*p_h))</f>
        <v/>
      </c>
      <c r="AL20" s="16">
        <f>IF(Mask!AL20=1,0,(Psi!AL19-Psi!AL21)/(2*p_h))</f>
        <v/>
      </c>
      <c r="AM20" s="16">
        <f>IF(Mask!AM20=1,0,(Psi!AM19-Psi!AM21)/(2*p_h))</f>
        <v/>
      </c>
      <c r="AN20" s="16">
        <f>IF(Mask!AN20=1,0,(Psi!AN19-Psi!AN21)/(2*p_h))</f>
        <v/>
      </c>
      <c r="AO20" s="16">
        <f>IF(Mask!AO20=1,0,(Psi!AO19-Psi!AO21)/(2*p_h))</f>
        <v/>
      </c>
      <c r="AP20" s="16">
        <f>IF(Mask!AP20=1,0,(Psi!AP19-Psi!AP21)/(2*p_h))</f>
        <v/>
      </c>
    </row>
    <row r="21">
      <c r="A21" s="7">
        <f>A20-p_h</f>
        <v/>
      </c>
      <c r="B21" s="16">
        <f>IF(Mask!B21=1,0,(Psi!B20-Psi!B22)/(2*p_h))</f>
        <v/>
      </c>
      <c r="C21" s="16">
        <f>IF(Mask!C21=1,0,(Psi!C20-Psi!C22)/(2*p_h))</f>
        <v/>
      </c>
      <c r="D21" s="16">
        <f>IF(Mask!D21=1,0,(Psi!D20-Psi!D22)/(2*p_h))</f>
        <v/>
      </c>
      <c r="E21" s="16">
        <f>IF(Mask!E21=1,0,(Psi!E20-Psi!E22)/(2*p_h))</f>
        <v/>
      </c>
      <c r="F21" s="16">
        <f>IF(Mask!F21=1,0,(Psi!F20-Psi!F22)/(2*p_h))</f>
        <v/>
      </c>
      <c r="G21" s="16">
        <f>IF(Mask!G21=1,0,(Psi!G20-Psi!G22)/(2*p_h))</f>
        <v/>
      </c>
      <c r="H21" s="16">
        <f>IF(Mask!H21=1,0,(Psi!H20-Psi!H22)/(2*p_h))</f>
        <v/>
      </c>
      <c r="I21" s="16">
        <f>IF(Mask!I21=1,0,(Psi!I20-Psi!I22)/(2*p_h))</f>
        <v/>
      </c>
      <c r="J21" s="16">
        <f>IF(Mask!J21=1,0,(Psi!J20-Psi!J22)/(2*p_h))</f>
        <v/>
      </c>
      <c r="K21" s="16">
        <f>IF(Mask!K21=1,0,(Psi!K20-Psi!K22)/(2*p_h))</f>
        <v/>
      </c>
      <c r="L21" s="16">
        <f>IF(Mask!L21=1,0,(Psi!L20-Psi!L22)/(2*p_h))</f>
        <v/>
      </c>
      <c r="M21" s="16">
        <f>IF(Mask!M21=1,0,(Psi!M20-Psi!M22)/(2*p_h))</f>
        <v/>
      </c>
      <c r="N21" s="16">
        <f>IF(Mask!N21=1,0,(Psi!N20-Psi!N22)/(2*p_h))</f>
        <v/>
      </c>
      <c r="O21" s="16">
        <f>IF(Mask!O21=1,0,(Psi!O20-Psi!O22)/(2*p_h))</f>
        <v/>
      </c>
      <c r="P21" s="16">
        <f>IF(Mask!P21=1,0,(Psi!P20-Psi!P22)/(2*p_h))</f>
        <v/>
      </c>
      <c r="Q21" s="16">
        <f>IF(Mask!Q21=1,0,(Psi!Q20-Psi!Q22)/(2*p_h))</f>
        <v/>
      </c>
      <c r="R21" s="16">
        <f>IF(Mask!R21=1,0,(Psi!R20-Psi!R22)/(2*p_h))</f>
        <v/>
      </c>
      <c r="S21" s="16">
        <f>IF(Mask!S21=1,0,(Psi!S20-Psi!S22)/(2*p_h))</f>
        <v/>
      </c>
      <c r="T21" s="16">
        <f>IF(Mask!T21=1,0,(Psi!T20-Psi!T22)/(2*p_h))</f>
        <v/>
      </c>
      <c r="U21" s="16">
        <f>IF(Mask!U21=1,0,(Psi!U20-Psi!U22)/(2*p_h))</f>
        <v/>
      </c>
      <c r="V21" s="16">
        <f>IF(Mask!V21=1,0,(Psi!V20-Psi!V22)/(2*p_h))</f>
        <v/>
      </c>
      <c r="W21" s="16">
        <f>IF(Mask!W21=1,0,(Psi!W20-Psi!W22)/(2*p_h))</f>
        <v/>
      </c>
      <c r="X21" s="16">
        <f>IF(Mask!X21=1,0,(Psi!X20-Psi!X22)/(2*p_h))</f>
        <v/>
      </c>
      <c r="Y21" s="16">
        <f>IF(Mask!Y21=1,0,(Psi!Y20-Psi!Y22)/(2*p_h))</f>
        <v/>
      </c>
      <c r="Z21" s="16">
        <f>IF(Mask!Z21=1,0,(Psi!Z20-Psi!Z22)/(2*p_h))</f>
        <v/>
      </c>
      <c r="AA21" s="16">
        <f>IF(Mask!AA21=1,0,(Psi!AA20-Psi!AA22)/(2*p_h))</f>
        <v/>
      </c>
      <c r="AB21" s="16">
        <f>IF(Mask!AB21=1,0,(Psi!AB20-Psi!AB22)/(2*p_h))</f>
        <v/>
      </c>
      <c r="AC21" s="16">
        <f>IF(Mask!AC21=1,0,(Psi!AC20-Psi!AC22)/(2*p_h))</f>
        <v/>
      </c>
      <c r="AD21" s="16">
        <f>IF(Mask!AD21=1,0,(Psi!AD20-Psi!AD22)/(2*p_h))</f>
        <v/>
      </c>
      <c r="AE21" s="16">
        <f>IF(Mask!AE21=1,0,(Psi!AE20-Psi!AE22)/(2*p_h))</f>
        <v/>
      </c>
      <c r="AF21" s="16">
        <f>IF(Mask!AF21=1,0,(Psi!AF20-Psi!AF22)/(2*p_h))</f>
        <v/>
      </c>
      <c r="AG21" s="16">
        <f>IF(Mask!AG21=1,0,(Psi!AG20-Psi!AG22)/(2*p_h))</f>
        <v/>
      </c>
      <c r="AH21" s="16">
        <f>IF(Mask!AH21=1,0,(Psi!AH20-Psi!AH22)/(2*p_h))</f>
        <v/>
      </c>
      <c r="AI21" s="16">
        <f>IF(Mask!AI21=1,0,(Psi!AI20-Psi!AI22)/(2*p_h))</f>
        <v/>
      </c>
      <c r="AJ21" s="16">
        <f>IF(Mask!AJ21=1,0,(Psi!AJ20-Psi!AJ22)/(2*p_h))</f>
        <v/>
      </c>
      <c r="AK21" s="16">
        <f>IF(Mask!AK21=1,0,(Psi!AK20-Psi!AK22)/(2*p_h))</f>
        <v/>
      </c>
      <c r="AL21" s="16">
        <f>IF(Mask!AL21=1,0,(Psi!AL20-Psi!AL22)/(2*p_h))</f>
        <v/>
      </c>
      <c r="AM21" s="16">
        <f>IF(Mask!AM21=1,0,(Psi!AM20-Psi!AM22)/(2*p_h))</f>
        <v/>
      </c>
      <c r="AN21" s="16">
        <f>IF(Mask!AN21=1,0,(Psi!AN20-Psi!AN22)/(2*p_h))</f>
        <v/>
      </c>
      <c r="AO21" s="16">
        <f>IF(Mask!AO21=1,0,(Psi!AO20-Psi!AO22)/(2*p_h))</f>
        <v/>
      </c>
      <c r="AP21" s="16">
        <f>IF(Mask!AP21=1,0,(Psi!AP20-Psi!AP22)/(2*p_h))</f>
        <v/>
      </c>
    </row>
    <row r="22">
      <c r="A22" s="7">
        <f>A21-p_h</f>
        <v/>
      </c>
      <c r="B22" s="16">
        <f>IF(Mask!B22=1,0,(Psi!B21-Psi!B23)/(2*p_h))</f>
        <v/>
      </c>
      <c r="C22" s="16">
        <f>IF(Mask!C22=1,0,(Psi!C21-Psi!C23)/(2*p_h))</f>
        <v/>
      </c>
      <c r="D22" s="16">
        <f>IF(Mask!D22=1,0,(Psi!D21-Psi!D23)/(2*p_h))</f>
        <v/>
      </c>
      <c r="E22" s="16">
        <f>IF(Mask!E22=1,0,(Psi!E21-Psi!E23)/(2*p_h))</f>
        <v/>
      </c>
      <c r="F22" s="16">
        <f>IF(Mask!F22=1,0,(Psi!F21-Psi!F23)/(2*p_h))</f>
        <v/>
      </c>
      <c r="G22" s="16">
        <f>IF(Mask!G22=1,0,(Psi!G21-Psi!G23)/(2*p_h))</f>
        <v/>
      </c>
      <c r="H22" s="16">
        <f>IF(Mask!H22=1,0,(Psi!H21-Psi!H23)/(2*p_h))</f>
        <v/>
      </c>
      <c r="I22" s="16">
        <f>IF(Mask!I22=1,0,(Psi!I21-Psi!I23)/(2*p_h))</f>
        <v/>
      </c>
      <c r="J22" s="16">
        <f>IF(Mask!J22=1,0,(Psi!J21-Psi!J23)/(2*p_h))</f>
        <v/>
      </c>
      <c r="K22" s="16">
        <f>IF(Mask!K22=1,0,(Psi!K21-Psi!K23)/(2*p_h))</f>
        <v/>
      </c>
      <c r="L22" s="16">
        <f>IF(Mask!L22=1,0,(Psi!L21-Psi!L23)/(2*p_h))</f>
        <v/>
      </c>
      <c r="M22" s="16">
        <f>IF(Mask!M22=1,0,(Psi!M21-Psi!M23)/(2*p_h))</f>
        <v/>
      </c>
      <c r="N22" s="16">
        <f>IF(Mask!N22=1,0,(Psi!N21-Psi!N23)/(2*p_h))</f>
        <v/>
      </c>
      <c r="O22" s="16">
        <f>IF(Mask!O22=1,0,(Psi!O21-Psi!O23)/(2*p_h))</f>
        <v/>
      </c>
      <c r="P22" s="16">
        <f>IF(Mask!P22=1,0,(Psi!P21-Psi!P23)/(2*p_h))</f>
        <v/>
      </c>
      <c r="Q22" s="16">
        <f>IF(Mask!Q22=1,0,(Psi!Q21-Psi!Q23)/(2*p_h))</f>
        <v/>
      </c>
      <c r="R22" s="16">
        <f>IF(Mask!R22=1,0,(Psi!R21-Psi!R23)/(2*p_h))</f>
        <v/>
      </c>
      <c r="S22" s="16">
        <f>IF(Mask!S22=1,0,(Psi!S21-Psi!S23)/(2*p_h))</f>
        <v/>
      </c>
      <c r="T22" s="16">
        <f>IF(Mask!T22=1,0,(Psi!T21-Psi!T23)/(2*p_h))</f>
        <v/>
      </c>
      <c r="U22" s="16">
        <f>IF(Mask!U22=1,0,(Psi!U21-Psi!U23)/(2*p_h))</f>
        <v/>
      </c>
      <c r="V22" s="16">
        <f>IF(Mask!V22=1,0,(Psi!V21-Psi!V23)/(2*p_h))</f>
        <v/>
      </c>
      <c r="W22" s="16">
        <f>IF(Mask!W22=1,0,(Psi!W21-Psi!W23)/(2*p_h))</f>
        <v/>
      </c>
      <c r="X22" s="16">
        <f>IF(Mask!X22=1,0,(Psi!X21-Psi!X23)/(2*p_h))</f>
        <v/>
      </c>
      <c r="Y22" s="16">
        <f>IF(Mask!Y22=1,0,(Psi!Y21-Psi!Y23)/(2*p_h))</f>
        <v/>
      </c>
      <c r="Z22" s="16">
        <f>IF(Mask!Z22=1,0,(Psi!Z21-Psi!Z23)/(2*p_h))</f>
        <v/>
      </c>
      <c r="AA22" s="16">
        <f>IF(Mask!AA22=1,0,(Psi!AA21-Psi!AA23)/(2*p_h))</f>
        <v/>
      </c>
      <c r="AB22" s="16">
        <f>IF(Mask!AB22=1,0,(Psi!AB21-Psi!AB23)/(2*p_h))</f>
        <v/>
      </c>
      <c r="AC22" s="16">
        <f>IF(Mask!AC22=1,0,(Psi!AC21-Psi!AC23)/(2*p_h))</f>
        <v/>
      </c>
      <c r="AD22" s="16">
        <f>IF(Mask!AD22=1,0,(Psi!AD21-Psi!AD23)/(2*p_h))</f>
        <v/>
      </c>
      <c r="AE22" s="16">
        <f>IF(Mask!AE22=1,0,(Psi!AE21-Psi!AE23)/(2*p_h))</f>
        <v/>
      </c>
      <c r="AF22" s="16">
        <f>IF(Mask!AF22=1,0,(Psi!AF21-Psi!AF23)/(2*p_h))</f>
        <v/>
      </c>
      <c r="AG22" s="16">
        <f>IF(Mask!AG22=1,0,(Psi!AG21-Psi!AG23)/(2*p_h))</f>
        <v/>
      </c>
      <c r="AH22" s="16">
        <f>IF(Mask!AH22=1,0,(Psi!AH21-Psi!AH23)/(2*p_h))</f>
        <v/>
      </c>
      <c r="AI22" s="16">
        <f>IF(Mask!AI22=1,0,(Psi!AI21-Psi!AI23)/(2*p_h))</f>
        <v/>
      </c>
      <c r="AJ22" s="16">
        <f>IF(Mask!AJ22=1,0,(Psi!AJ21-Psi!AJ23)/(2*p_h))</f>
        <v/>
      </c>
      <c r="AK22" s="16">
        <f>IF(Mask!AK22=1,0,(Psi!AK21-Psi!AK23)/(2*p_h))</f>
        <v/>
      </c>
      <c r="AL22" s="16">
        <f>IF(Mask!AL22=1,0,(Psi!AL21-Psi!AL23)/(2*p_h))</f>
        <v/>
      </c>
      <c r="AM22" s="16">
        <f>IF(Mask!AM22=1,0,(Psi!AM21-Psi!AM23)/(2*p_h))</f>
        <v/>
      </c>
      <c r="AN22" s="16">
        <f>IF(Mask!AN22=1,0,(Psi!AN21-Psi!AN23)/(2*p_h))</f>
        <v/>
      </c>
      <c r="AO22" s="16">
        <f>IF(Mask!AO22=1,0,(Psi!AO21-Psi!AO23)/(2*p_h))</f>
        <v/>
      </c>
      <c r="AP22" s="16">
        <f>IF(Mask!AP22=1,0,(Psi!AP21-Psi!AP23)/(2*p_h))</f>
        <v/>
      </c>
    </row>
    <row r="23">
      <c r="A23" s="7">
        <f>A22-p_h</f>
        <v/>
      </c>
      <c r="B23" s="16">
        <f>IF(Mask!B23=1,0,(Psi!B22-Psi!B23)/p_h)</f>
        <v/>
      </c>
      <c r="C23" s="16">
        <f>IF(Mask!C23=1,0,(Psi!C22-Psi!C23)/p_h)</f>
        <v/>
      </c>
      <c r="D23" s="16">
        <f>IF(Mask!D23=1,0,(Psi!D22-Psi!D23)/p_h)</f>
        <v/>
      </c>
      <c r="E23" s="16">
        <f>IF(Mask!E23=1,0,(Psi!E22-Psi!E23)/p_h)</f>
        <v/>
      </c>
      <c r="F23" s="16">
        <f>IF(Mask!F23=1,0,(Psi!F22-Psi!F23)/p_h)</f>
        <v/>
      </c>
      <c r="G23" s="16">
        <f>IF(Mask!G23=1,0,(Psi!G22-Psi!G23)/p_h)</f>
        <v/>
      </c>
      <c r="H23" s="16">
        <f>IF(Mask!H23=1,0,(Psi!H22-Psi!H23)/p_h)</f>
        <v/>
      </c>
      <c r="I23" s="16">
        <f>IF(Mask!I23=1,0,(Psi!I22-Psi!I23)/p_h)</f>
        <v/>
      </c>
      <c r="J23" s="16">
        <f>IF(Mask!J23=1,0,(Psi!J22-Psi!J23)/p_h)</f>
        <v/>
      </c>
      <c r="K23" s="16">
        <f>IF(Mask!K23=1,0,(Psi!K22-Psi!K23)/p_h)</f>
        <v/>
      </c>
      <c r="L23" s="16">
        <f>IF(Mask!L23=1,0,(Psi!L22-Psi!L23)/p_h)</f>
        <v/>
      </c>
      <c r="M23" s="16">
        <f>IF(Mask!M23=1,0,(Psi!M22-Psi!M23)/p_h)</f>
        <v/>
      </c>
      <c r="N23" s="16">
        <f>IF(Mask!N23=1,0,(Psi!N22-Psi!N23)/p_h)</f>
        <v/>
      </c>
      <c r="O23" s="16">
        <f>IF(Mask!O23=1,0,(Psi!O22-Psi!O23)/p_h)</f>
        <v/>
      </c>
      <c r="P23" s="16">
        <f>IF(Mask!P23=1,0,(Psi!P22-Psi!P23)/p_h)</f>
        <v/>
      </c>
      <c r="Q23" s="16">
        <f>IF(Mask!Q23=1,0,(Psi!Q22-Psi!Q23)/p_h)</f>
        <v/>
      </c>
      <c r="R23" s="16">
        <f>IF(Mask!R23=1,0,(Psi!R22-Psi!R23)/p_h)</f>
        <v/>
      </c>
      <c r="S23" s="16">
        <f>IF(Mask!S23=1,0,(Psi!S22-Psi!S23)/p_h)</f>
        <v/>
      </c>
      <c r="T23" s="16">
        <f>IF(Mask!T23=1,0,(Psi!T22-Psi!T23)/p_h)</f>
        <v/>
      </c>
      <c r="U23" s="16">
        <f>IF(Mask!U23=1,0,(Psi!U22-Psi!U23)/p_h)</f>
        <v/>
      </c>
      <c r="V23" s="16">
        <f>IF(Mask!V23=1,0,(Psi!V22-Psi!V23)/p_h)</f>
        <v/>
      </c>
      <c r="W23" s="16">
        <f>IF(Mask!W23=1,0,(Psi!W22-Psi!W23)/p_h)</f>
        <v/>
      </c>
      <c r="X23" s="16">
        <f>IF(Mask!X23=1,0,(Psi!X22-Psi!X23)/p_h)</f>
        <v/>
      </c>
      <c r="Y23" s="16">
        <f>IF(Mask!Y23=1,0,(Psi!Y22-Psi!Y23)/p_h)</f>
        <v/>
      </c>
      <c r="Z23" s="16">
        <f>IF(Mask!Z23=1,0,(Psi!Z22-Psi!Z23)/p_h)</f>
        <v/>
      </c>
      <c r="AA23" s="16">
        <f>IF(Mask!AA23=1,0,(Psi!AA22-Psi!AA23)/p_h)</f>
        <v/>
      </c>
      <c r="AB23" s="16">
        <f>IF(Mask!AB23=1,0,(Psi!AB22-Psi!AB23)/p_h)</f>
        <v/>
      </c>
      <c r="AC23" s="16">
        <f>IF(Mask!AC23=1,0,(Psi!AC22-Psi!AC23)/p_h)</f>
        <v/>
      </c>
      <c r="AD23" s="16">
        <f>IF(Mask!AD23=1,0,(Psi!AD22-Psi!AD23)/p_h)</f>
        <v/>
      </c>
      <c r="AE23" s="16">
        <f>IF(Mask!AE23=1,0,(Psi!AE22-Psi!AE23)/p_h)</f>
        <v/>
      </c>
      <c r="AF23" s="16">
        <f>IF(Mask!AF23=1,0,(Psi!AF22-Psi!AF23)/p_h)</f>
        <v/>
      </c>
      <c r="AG23" s="16">
        <f>IF(Mask!AG23=1,0,(Psi!AG22-Psi!AG23)/p_h)</f>
        <v/>
      </c>
      <c r="AH23" s="16">
        <f>IF(Mask!AH23=1,0,(Psi!AH22-Psi!AH23)/p_h)</f>
        <v/>
      </c>
      <c r="AI23" s="16">
        <f>IF(Mask!AI23=1,0,(Psi!AI22-Psi!AI23)/p_h)</f>
        <v/>
      </c>
      <c r="AJ23" s="16">
        <f>IF(Mask!AJ23=1,0,(Psi!AJ22-Psi!AJ23)/p_h)</f>
        <v/>
      </c>
      <c r="AK23" s="16">
        <f>IF(Mask!AK23=1,0,(Psi!AK22-Psi!AK23)/p_h)</f>
        <v/>
      </c>
      <c r="AL23" s="16">
        <f>IF(Mask!AL23=1,0,(Psi!AL22-Psi!AL23)/p_h)</f>
        <v/>
      </c>
      <c r="AM23" s="16">
        <f>IF(Mask!AM23=1,0,(Psi!AM22-Psi!AM23)/p_h)</f>
        <v/>
      </c>
      <c r="AN23" s="16">
        <f>IF(Mask!AN23=1,0,(Psi!AN22-Psi!AN23)/p_h)</f>
        <v/>
      </c>
      <c r="AO23" s="16">
        <f>IF(Mask!AO23=1,0,(Psi!AO22-Psi!AO23)/p_h)</f>
        <v/>
      </c>
      <c r="AP23" s="16">
        <f>IF(Mask!AP23=1,0,(Psi!AP22-Psi!AP23)/p_h)</f>
        <v/>
      </c>
    </row>
  </sheetData>
  <conditionalFormatting sqref="B3:AP23">
    <cfRule type="colorScale" priority="1">
      <colorScale>
        <cfvo type="min"/>
        <cfvo type="percentile" val="50"/>
        <cfvo type="max"/>
        <color rgb="002C7BB6"/>
        <color rgb="00FFFFBF"/>
        <color rgb="00D7191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2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</cols>
  <sheetData>
    <row r="1">
      <c r="A1" s="4" t="inlineStr">
        <is>
          <t>Vertical velocity v [m/s]</t>
        </is>
      </c>
    </row>
    <row r="2">
      <c r="A2" s="5" t="inlineStr">
        <is>
          <t>y \ x</t>
        </is>
      </c>
      <c r="B2" s="6" t="n">
        <v>0</v>
      </c>
      <c r="C2" s="6">
        <f>B2+p_h</f>
        <v/>
      </c>
      <c r="D2" s="6">
        <f>C2+p_h</f>
        <v/>
      </c>
      <c r="E2" s="6">
        <f>D2+p_h</f>
        <v/>
      </c>
      <c r="F2" s="6">
        <f>E2+p_h</f>
        <v/>
      </c>
      <c r="G2" s="6">
        <f>F2+p_h</f>
        <v/>
      </c>
      <c r="H2" s="6">
        <f>G2+p_h</f>
        <v/>
      </c>
      <c r="I2" s="6">
        <f>H2+p_h</f>
        <v/>
      </c>
      <c r="J2" s="6">
        <f>I2+p_h</f>
        <v/>
      </c>
      <c r="K2" s="6">
        <f>J2+p_h</f>
        <v/>
      </c>
      <c r="L2" s="6">
        <f>K2+p_h</f>
        <v/>
      </c>
      <c r="M2" s="6">
        <f>L2+p_h</f>
        <v/>
      </c>
      <c r="N2" s="6">
        <f>M2+p_h</f>
        <v/>
      </c>
      <c r="O2" s="6">
        <f>N2+p_h</f>
        <v/>
      </c>
      <c r="P2" s="6">
        <f>O2+p_h</f>
        <v/>
      </c>
      <c r="Q2" s="6">
        <f>P2+p_h</f>
        <v/>
      </c>
      <c r="R2" s="6">
        <f>Q2+p_h</f>
        <v/>
      </c>
      <c r="S2" s="6">
        <f>R2+p_h</f>
        <v/>
      </c>
      <c r="T2" s="6">
        <f>S2+p_h</f>
        <v/>
      </c>
      <c r="U2" s="6">
        <f>T2+p_h</f>
        <v/>
      </c>
      <c r="V2" s="6">
        <f>U2+p_h</f>
        <v/>
      </c>
      <c r="W2" s="6">
        <f>V2+p_h</f>
        <v/>
      </c>
      <c r="X2" s="6">
        <f>W2+p_h</f>
        <v/>
      </c>
      <c r="Y2" s="6">
        <f>X2+p_h</f>
        <v/>
      </c>
      <c r="Z2" s="6">
        <f>Y2+p_h</f>
        <v/>
      </c>
      <c r="AA2" s="6">
        <f>Z2+p_h</f>
        <v/>
      </c>
      <c r="AB2" s="6">
        <f>AA2+p_h</f>
        <v/>
      </c>
      <c r="AC2" s="6">
        <f>AB2+p_h</f>
        <v/>
      </c>
      <c r="AD2" s="6">
        <f>AC2+p_h</f>
        <v/>
      </c>
      <c r="AE2" s="6">
        <f>AD2+p_h</f>
        <v/>
      </c>
      <c r="AF2" s="6">
        <f>AE2+p_h</f>
        <v/>
      </c>
      <c r="AG2" s="6">
        <f>AF2+p_h</f>
        <v/>
      </c>
      <c r="AH2" s="6">
        <f>AG2+p_h</f>
        <v/>
      </c>
      <c r="AI2" s="6">
        <f>AH2+p_h</f>
        <v/>
      </c>
      <c r="AJ2" s="6">
        <f>AI2+p_h</f>
        <v/>
      </c>
      <c r="AK2" s="6">
        <f>AJ2+p_h</f>
        <v/>
      </c>
      <c r="AL2" s="6">
        <f>AK2+p_h</f>
        <v/>
      </c>
      <c r="AM2" s="6">
        <f>AL2+p_h</f>
        <v/>
      </c>
      <c r="AN2" s="6">
        <f>AM2+p_h</f>
        <v/>
      </c>
      <c r="AO2" s="6">
        <f>AN2+p_h</f>
        <v/>
      </c>
      <c r="AP2" s="6">
        <f>AO2+p_h</f>
        <v/>
      </c>
    </row>
    <row r="3">
      <c r="A3" s="7">
        <f>20*p_h</f>
        <v/>
      </c>
      <c r="B3" s="16">
        <f>IF(Mask!B3=1,0,-(Psi!C3-Psi!B3)/p_h)</f>
        <v/>
      </c>
      <c r="C3" s="16">
        <f>IF(Mask!C3=1,0,-(Psi!D3-Psi!B3)/(2*p_h))</f>
        <v/>
      </c>
      <c r="D3" s="16">
        <f>IF(Mask!D3=1,0,-(Psi!E3-Psi!C3)/(2*p_h))</f>
        <v/>
      </c>
      <c r="E3" s="16">
        <f>IF(Mask!E3=1,0,-(Psi!F3-Psi!D3)/(2*p_h))</f>
        <v/>
      </c>
      <c r="F3" s="16">
        <f>IF(Mask!F3=1,0,-(Psi!G3-Psi!E3)/(2*p_h))</f>
        <v/>
      </c>
      <c r="G3" s="16">
        <f>IF(Mask!G3=1,0,-(Psi!H3-Psi!F3)/(2*p_h))</f>
        <v/>
      </c>
      <c r="H3" s="16">
        <f>IF(Mask!H3=1,0,-(Psi!I3-Psi!G3)/(2*p_h))</f>
        <v/>
      </c>
      <c r="I3" s="16">
        <f>IF(Mask!I3=1,0,-(Psi!J3-Psi!H3)/(2*p_h))</f>
        <v/>
      </c>
      <c r="J3" s="16">
        <f>IF(Mask!J3=1,0,-(Psi!K3-Psi!I3)/(2*p_h))</f>
        <v/>
      </c>
      <c r="K3" s="16">
        <f>IF(Mask!K3=1,0,-(Psi!L3-Psi!J3)/(2*p_h))</f>
        <v/>
      </c>
      <c r="L3" s="16">
        <f>IF(Mask!L3=1,0,-(Psi!M3-Psi!K3)/(2*p_h))</f>
        <v/>
      </c>
      <c r="M3" s="16">
        <f>IF(Mask!M3=1,0,-(Psi!N3-Psi!L3)/(2*p_h))</f>
        <v/>
      </c>
      <c r="N3" s="16">
        <f>IF(Mask!N3=1,0,-(Psi!O3-Psi!M3)/(2*p_h))</f>
        <v/>
      </c>
      <c r="O3" s="16">
        <f>IF(Mask!O3=1,0,-(Psi!P3-Psi!N3)/(2*p_h))</f>
        <v/>
      </c>
      <c r="P3" s="16">
        <f>IF(Mask!P3=1,0,-(Psi!Q3-Psi!O3)/(2*p_h))</f>
        <v/>
      </c>
      <c r="Q3" s="16">
        <f>IF(Mask!Q3=1,0,-(Psi!R3-Psi!P3)/(2*p_h))</f>
        <v/>
      </c>
      <c r="R3" s="16">
        <f>IF(Mask!R3=1,0,-(Psi!S3-Psi!Q3)/(2*p_h))</f>
        <v/>
      </c>
      <c r="S3" s="16">
        <f>IF(Mask!S3=1,0,-(Psi!T3-Psi!R3)/(2*p_h))</f>
        <v/>
      </c>
      <c r="T3" s="16">
        <f>IF(Mask!T3=1,0,-(Psi!U3-Psi!S3)/(2*p_h))</f>
        <v/>
      </c>
      <c r="U3" s="16">
        <f>IF(Mask!U3=1,0,-(Psi!V3-Psi!T3)/(2*p_h))</f>
        <v/>
      </c>
      <c r="V3" s="16">
        <f>IF(Mask!V3=1,0,-(Psi!W3-Psi!U3)/(2*p_h))</f>
        <v/>
      </c>
      <c r="W3" s="16">
        <f>IF(Mask!W3=1,0,-(Psi!X3-Psi!V3)/(2*p_h))</f>
        <v/>
      </c>
      <c r="X3" s="16">
        <f>IF(Mask!X3=1,0,-(Psi!Y3-Psi!W3)/(2*p_h))</f>
        <v/>
      </c>
      <c r="Y3" s="16">
        <f>IF(Mask!Y3=1,0,-(Psi!Z3-Psi!X3)/(2*p_h))</f>
        <v/>
      </c>
      <c r="Z3" s="16">
        <f>IF(Mask!Z3=1,0,-(Psi!AA3-Psi!Y3)/(2*p_h))</f>
        <v/>
      </c>
      <c r="AA3" s="16">
        <f>IF(Mask!AA3=1,0,-(Psi!AB3-Psi!Z3)/(2*p_h))</f>
        <v/>
      </c>
      <c r="AB3" s="16">
        <f>IF(Mask!AB3=1,0,-(Psi!AC3-Psi!AA3)/(2*p_h))</f>
        <v/>
      </c>
      <c r="AC3" s="16">
        <f>IF(Mask!AC3=1,0,-(Psi!AD3-Psi!AB3)/(2*p_h))</f>
        <v/>
      </c>
      <c r="AD3" s="16">
        <f>IF(Mask!AD3=1,0,-(Psi!AE3-Psi!AC3)/(2*p_h))</f>
        <v/>
      </c>
      <c r="AE3" s="16">
        <f>IF(Mask!AE3=1,0,-(Psi!AF3-Psi!AD3)/(2*p_h))</f>
        <v/>
      </c>
      <c r="AF3" s="16">
        <f>IF(Mask!AF3=1,0,-(Psi!AG3-Psi!AE3)/(2*p_h))</f>
        <v/>
      </c>
      <c r="AG3" s="16">
        <f>IF(Mask!AG3=1,0,-(Psi!AH3-Psi!AF3)/(2*p_h))</f>
        <v/>
      </c>
      <c r="AH3" s="16">
        <f>IF(Mask!AH3=1,0,-(Psi!AI3-Psi!AG3)/(2*p_h))</f>
        <v/>
      </c>
      <c r="AI3" s="16">
        <f>IF(Mask!AI3=1,0,-(Psi!AJ3-Psi!AH3)/(2*p_h))</f>
        <v/>
      </c>
      <c r="AJ3" s="16">
        <f>IF(Mask!AJ3=1,0,-(Psi!AK3-Psi!AI3)/(2*p_h))</f>
        <v/>
      </c>
      <c r="AK3" s="16">
        <f>IF(Mask!AK3=1,0,-(Psi!AL3-Psi!AJ3)/(2*p_h))</f>
        <v/>
      </c>
      <c r="AL3" s="16">
        <f>IF(Mask!AL3=1,0,-(Psi!AM3-Psi!AK3)/(2*p_h))</f>
        <v/>
      </c>
      <c r="AM3" s="16">
        <f>IF(Mask!AM3=1,0,-(Psi!AN3-Psi!AL3)/(2*p_h))</f>
        <v/>
      </c>
      <c r="AN3" s="16">
        <f>IF(Mask!AN3=1,0,-(Psi!AO3-Psi!AM3)/(2*p_h))</f>
        <v/>
      </c>
      <c r="AO3" s="16">
        <f>IF(Mask!AO3=1,0,-(Psi!AP3-Psi!AN3)/(2*p_h))</f>
        <v/>
      </c>
      <c r="AP3" s="16">
        <f>IF(Mask!AP3=1,0,-(Psi!AP3-Psi!AO3)/p_h)</f>
        <v/>
      </c>
    </row>
    <row r="4">
      <c r="A4" s="7">
        <f>A3-p_h</f>
        <v/>
      </c>
      <c r="B4" s="16">
        <f>IF(Mask!B4=1,0,-(Psi!C4-Psi!B4)/p_h)</f>
        <v/>
      </c>
      <c r="C4" s="16">
        <f>IF(Mask!C4=1,0,-(Psi!D4-Psi!B4)/(2*p_h))</f>
        <v/>
      </c>
      <c r="D4" s="16">
        <f>IF(Mask!D4=1,0,-(Psi!E4-Psi!C4)/(2*p_h))</f>
        <v/>
      </c>
      <c r="E4" s="16">
        <f>IF(Mask!E4=1,0,-(Psi!F4-Psi!D4)/(2*p_h))</f>
        <v/>
      </c>
      <c r="F4" s="16">
        <f>IF(Mask!F4=1,0,-(Psi!G4-Psi!E4)/(2*p_h))</f>
        <v/>
      </c>
      <c r="G4" s="16">
        <f>IF(Mask!G4=1,0,-(Psi!H4-Psi!F4)/(2*p_h))</f>
        <v/>
      </c>
      <c r="H4" s="16">
        <f>IF(Mask!H4=1,0,-(Psi!I4-Psi!G4)/(2*p_h))</f>
        <v/>
      </c>
      <c r="I4" s="16">
        <f>IF(Mask!I4=1,0,-(Psi!J4-Psi!H4)/(2*p_h))</f>
        <v/>
      </c>
      <c r="J4" s="16">
        <f>IF(Mask!J4=1,0,-(Psi!K4-Psi!I4)/(2*p_h))</f>
        <v/>
      </c>
      <c r="K4" s="16">
        <f>IF(Mask!K4=1,0,-(Psi!L4-Psi!J4)/(2*p_h))</f>
        <v/>
      </c>
      <c r="L4" s="16">
        <f>IF(Mask!L4=1,0,-(Psi!M4-Psi!K4)/(2*p_h))</f>
        <v/>
      </c>
      <c r="M4" s="16">
        <f>IF(Mask!M4=1,0,-(Psi!N4-Psi!L4)/(2*p_h))</f>
        <v/>
      </c>
      <c r="N4" s="16">
        <f>IF(Mask!N4=1,0,-(Psi!O4-Psi!M4)/(2*p_h))</f>
        <v/>
      </c>
      <c r="O4" s="16">
        <f>IF(Mask!O4=1,0,-(Psi!P4-Psi!N4)/(2*p_h))</f>
        <v/>
      </c>
      <c r="P4" s="16">
        <f>IF(Mask!P4=1,0,-(Psi!Q4-Psi!O4)/(2*p_h))</f>
        <v/>
      </c>
      <c r="Q4" s="16">
        <f>IF(Mask!Q4=1,0,-(Psi!R4-Psi!P4)/(2*p_h))</f>
        <v/>
      </c>
      <c r="R4" s="16">
        <f>IF(Mask!R4=1,0,-(Psi!S4-Psi!Q4)/(2*p_h))</f>
        <v/>
      </c>
      <c r="S4" s="16">
        <f>IF(Mask!S4=1,0,-(Psi!T4-Psi!R4)/(2*p_h))</f>
        <v/>
      </c>
      <c r="T4" s="16">
        <f>IF(Mask!T4=1,0,-(Psi!U4-Psi!S4)/(2*p_h))</f>
        <v/>
      </c>
      <c r="U4" s="16">
        <f>IF(Mask!U4=1,0,-(Psi!V4-Psi!T4)/(2*p_h))</f>
        <v/>
      </c>
      <c r="V4" s="16">
        <f>IF(Mask!V4=1,0,-(Psi!W4-Psi!U4)/(2*p_h))</f>
        <v/>
      </c>
      <c r="W4" s="16">
        <f>IF(Mask!W4=1,0,-(Psi!X4-Psi!V4)/(2*p_h))</f>
        <v/>
      </c>
      <c r="X4" s="16">
        <f>IF(Mask!X4=1,0,-(Psi!Y4-Psi!W4)/(2*p_h))</f>
        <v/>
      </c>
      <c r="Y4" s="16">
        <f>IF(Mask!Y4=1,0,-(Psi!Z4-Psi!X4)/(2*p_h))</f>
        <v/>
      </c>
      <c r="Z4" s="16">
        <f>IF(Mask!Z4=1,0,-(Psi!AA4-Psi!Y4)/(2*p_h))</f>
        <v/>
      </c>
      <c r="AA4" s="16">
        <f>IF(Mask!AA4=1,0,-(Psi!AB4-Psi!Z4)/(2*p_h))</f>
        <v/>
      </c>
      <c r="AB4" s="16">
        <f>IF(Mask!AB4=1,0,-(Psi!AC4-Psi!AA4)/(2*p_h))</f>
        <v/>
      </c>
      <c r="AC4" s="16">
        <f>IF(Mask!AC4=1,0,-(Psi!AD4-Psi!AB4)/(2*p_h))</f>
        <v/>
      </c>
      <c r="AD4" s="16">
        <f>IF(Mask!AD4=1,0,-(Psi!AE4-Psi!AC4)/(2*p_h))</f>
        <v/>
      </c>
      <c r="AE4" s="16">
        <f>IF(Mask!AE4=1,0,-(Psi!AF4-Psi!AD4)/(2*p_h))</f>
        <v/>
      </c>
      <c r="AF4" s="16">
        <f>IF(Mask!AF4=1,0,-(Psi!AG4-Psi!AE4)/(2*p_h))</f>
        <v/>
      </c>
      <c r="AG4" s="16">
        <f>IF(Mask!AG4=1,0,-(Psi!AH4-Psi!AF4)/(2*p_h))</f>
        <v/>
      </c>
      <c r="AH4" s="16">
        <f>IF(Mask!AH4=1,0,-(Psi!AI4-Psi!AG4)/(2*p_h))</f>
        <v/>
      </c>
      <c r="AI4" s="16">
        <f>IF(Mask!AI4=1,0,-(Psi!AJ4-Psi!AH4)/(2*p_h))</f>
        <v/>
      </c>
      <c r="AJ4" s="16">
        <f>IF(Mask!AJ4=1,0,-(Psi!AK4-Psi!AI4)/(2*p_h))</f>
        <v/>
      </c>
      <c r="AK4" s="16">
        <f>IF(Mask!AK4=1,0,-(Psi!AL4-Psi!AJ4)/(2*p_h))</f>
        <v/>
      </c>
      <c r="AL4" s="16">
        <f>IF(Mask!AL4=1,0,-(Psi!AM4-Psi!AK4)/(2*p_h))</f>
        <v/>
      </c>
      <c r="AM4" s="16">
        <f>IF(Mask!AM4=1,0,-(Psi!AN4-Psi!AL4)/(2*p_h))</f>
        <v/>
      </c>
      <c r="AN4" s="16">
        <f>IF(Mask!AN4=1,0,-(Psi!AO4-Psi!AM4)/(2*p_h))</f>
        <v/>
      </c>
      <c r="AO4" s="16">
        <f>IF(Mask!AO4=1,0,-(Psi!AP4-Psi!AN4)/(2*p_h))</f>
        <v/>
      </c>
      <c r="AP4" s="16">
        <f>IF(Mask!AP4=1,0,-(Psi!AP4-Psi!AO4)/p_h)</f>
        <v/>
      </c>
    </row>
    <row r="5">
      <c r="A5" s="7">
        <f>A4-p_h</f>
        <v/>
      </c>
      <c r="B5" s="16">
        <f>IF(Mask!B5=1,0,-(Psi!C5-Psi!B5)/p_h)</f>
        <v/>
      </c>
      <c r="C5" s="16">
        <f>IF(Mask!C5=1,0,-(Psi!D5-Psi!B5)/(2*p_h))</f>
        <v/>
      </c>
      <c r="D5" s="16">
        <f>IF(Mask!D5=1,0,-(Psi!E5-Psi!C5)/(2*p_h))</f>
        <v/>
      </c>
      <c r="E5" s="16">
        <f>IF(Mask!E5=1,0,-(Psi!F5-Psi!D5)/(2*p_h))</f>
        <v/>
      </c>
      <c r="F5" s="16">
        <f>IF(Mask!F5=1,0,-(Psi!G5-Psi!E5)/(2*p_h))</f>
        <v/>
      </c>
      <c r="G5" s="16">
        <f>IF(Mask!G5=1,0,-(Psi!H5-Psi!F5)/(2*p_h))</f>
        <v/>
      </c>
      <c r="H5" s="16">
        <f>IF(Mask!H5=1,0,-(Psi!I5-Psi!G5)/(2*p_h))</f>
        <v/>
      </c>
      <c r="I5" s="16">
        <f>IF(Mask!I5=1,0,-(Psi!J5-Psi!H5)/(2*p_h))</f>
        <v/>
      </c>
      <c r="J5" s="16">
        <f>IF(Mask!J5=1,0,-(Psi!K5-Psi!I5)/(2*p_h))</f>
        <v/>
      </c>
      <c r="K5" s="16">
        <f>IF(Mask!K5=1,0,-(Psi!L5-Psi!J5)/(2*p_h))</f>
        <v/>
      </c>
      <c r="L5" s="16">
        <f>IF(Mask!L5=1,0,-(Psi!M5-Psi!K5)/(2*p_h))</f>
        <v/>
      </c>
      <c r="M5" s="16">
        <f>IF(Mask!M5=1,0,-(Psi!N5-Psi!L5)/(2*p_h))</f>
        <v/>
      </c>
      <c r="N5" s="16">
        <f>IF(Mask!N5=1,0,-(Psi!O5-Psi!M5)/(2*p_h))</f>
        <v/>
      </c>
      <c r="O5" s="16">
        <f>IF(Mask!O5=1,0,-(Psi!P5-Psi!N5)/(2*p_h))</f>
        <v/>
      </c>
      <c r="P5" s="16">
        <f>IF(Mask!P5=1,0,-(Psi!Q5-Psi!O5)/(2*p_h))</f>
        <v/>
      </c>
      <c r="Q5" s="16">
        <f>IF(Mask!Q5=1,0,-(Psi!R5-Psi!P5)/(2*p_h))</f>
        <v/>
      </c>
      <c r="R5" s="16">
        <f>IF(Mask!R5=1,0,-(Psi!S5-Psi!Q5)/(2*p_h))</f>
        <v/>
      </c>
      <c r="S5" s="16">
        <f>IF(Mask!S5=1,0,-(Psi!T5-Psi!R5)/(2*p_h))</f>
        <v/>
      </c>
      <c r="T5" s="16">
        <f>IF(Mask!T5=1,0,-(Psi!U5-Psi!S5)/(2*p_h))</f>
        <v/>
      </c>
      <c r="U5" s="16">
        <f>IF(Mask!U5=1,0,-(Psi!V5-Psi!T5)/(2*p_h))</f>
        <v/>
      </c>
      <c r="V5" s="16">
        <f>IF(Mask!V5=1,0,-(Psi!W5-Psi!U5)/(2*p_h))</f>
        <v/>
      </c>
      <c r="W5" s="16">
        <f>IF(Mask!W5=1,0,-(Psi!X5-Psi!V5)/(2*p_h))</f>
        <v/>
      </c>
      <c r="X5" s="16">
        <f>IF(Mask!X5=1,0,-(Psi!Y5-Psi!W5)/(2*p_h))</f>
        <v/>
      </c>
      <c r="Y5" s="16">
        <f>IF(Mask!Y5=1,0,-(Psi!Z5-Psi!X5)/(2*p_h))</f>
        <v/>
      </c>
      <c r="Z5" s="16">
        <f>IF(Mask!Z5=1,0,-(Psi!AA5-Psi!Y5)/(2*p_h))</f>
        <v/>
      </c>
      <c r="AA5" s="16">
        <f>IF(Mask!AA5=1,0,-(Psi!AB5-Psi!Z5)/(2*p_h))</f>
        <v/>
      </c>
      <c r="AB5" s="16">
        <f>IF(Mask!AB5=1,0,-(Psi!AC5-Psi!AA5)/(2*p_h))</f>
        <v/>
      </c>
      <c r="AC5" s="16">
        <f>IF(Mask!AC5=1,0,-(Psi!AD5-Psi!AB5)/(2*p_h))</f>
        <v/>
      </c>
      <c r="AD5" s="16">
        <f>IF(Mask!AD5=1,0,-(Psi!AE5-Psi!AC5)/(2*p_h))</f>
        <v/>
      </c>
      <c r="AE5" s="16">
        <f>IF(Mask!AE5=1,0,-(Psi!AF5-Psi!AD5)/(2*p_h))</f>
        <v/>
      </c>
      <c r="AF5" s="16">
        <f>IF(Mask!AF5=1,0,-(Psi!AG5-Psi!AE5)/(2*p_h))</f>
        <v/>
      </c>
      <c r="AG5" s="16">
        <f>IF(Mask!AG5=1,0,-(Psi!AH5-Psi!AF5)/(2*p_h))</f>
        <v/>
      </c>
      <c r="AH5" s="16">
        <f>IF(Mask!AH5=1,0,-(Psi!AI5-Psi!AG5)/(2*p_h))</f>
        <v/>
      </c>
      <c r="AI5" s="16">
        <f>IF(Mask!AI5=1,0,-(Psi!AJ5-Psi!AH5)/(2*p_h))</f>
        <v/>
      </c>
      <c r="AJ5" s="16">
        <f>IF(Mask!AJ5=1,0,-(Psi!AK5-Psi!AI5)/(2*p_h))</f>
        <v/>
      </c>
      <c r="AK5" s="16">
        <f>IF(Mask!AK5=1,0,-(Psi!AL5-Psi!AJ5)/(2*p_h))</f>
        <v/>
      </c>
      <c r="AL5" s="16">
        <f>IF(Mask!AL5=1,0,-(Psi!AM5-Psi!AK5)/(2*p_h))</f>
        <v/>
      </c>
      <c r="AM5" s="16">
        <f>IF(Mask!AM5=1,0,-(Psi!AN5-Psi!AL5)/(2*p_h))</f>
        <v/>
      </c>
      <c r="AN5" s="16">
        <f>IF(Mask!AN5=1,0,-(Psi!AO5-Psi!AM5)/(2*p_h))</f>
        <v/>
      </c>
      <c r="AO5" s="16">
        <f>IF(Mask!AO5=1,0,-(Psi!AP5-Psi!AN5)/(2*p_h))</f>
        <v/>
      </c>
      <c r="AP5" s="16">
        <f>IF(Mask!AP5=1,0,-(Psi!AP5-Psi!AO5)/p_h)</f>
        <v/>
      </c>
    </row>
    <row r="6">
      <c r="A6" s="7">
        <f>A5-p_h</f>
        <v/>
      </c>
      <c r="B6" s="16">
        <f>IF(Mask!B6=1,0,-(Psi!C6-Psi!B6)/p_h)</f>
        <v/>
      </c>
      <c r="C6" s="16">
        <f>IF(Mask!C6=1,0,-(Psi!D6-Psi!B6)/(2*p_h))</f>
        <v/>
      </c>
      <c r="D6" s="16">
        <f>IF(Mask!D6=1,0,-(Psi!E6-Psi!C6)/(2*p_h))</f>
        <v/>
      </c>
      <c r="E6" s="16">
        <f>IF(Mask!E6=1,0,-(Psi!F6-Psi!D6)/(2*p_h))</f>
        <v/>
      </c>
      <c r="F6" s="16">
        <f>IF(Mask!F6=1,0,-(Psi!G6-Psi!E6)/(2*p_h))</f>
        <v/>
      </c>
      <c r="G6" s="16">
        <f>IF(Mask!G6=1,0,-(Psi!H6-Psi!F6)/(2*p_h))</f>
        <v/>
      </c>
      <c r="H6" s="16">
        <f>IF(Mask!H6=1,0,-(Psi!I6-Psi!G6)/(2*p_h))</f>
        <v/>
      </c>
      <c r="I6" s="16">
        <f>IF(Mask!I6=1,0,-(Psi!J6-Psi!H6)/(2*p_h))</f>
        <v/>
      </c>
      <c r="J6" s="16">
        <f>IF(Mask!J6=1,0,-(Psi!K6-Psi!I6)/(2*p_h))</f>
        <v/>
      </c>
      <c r="K6" s="16">
        <f>IF(Mask!K6=1,0,-(Psi!L6-Psi!J6)/(2*p_h))</f>
        <v/>
      </c>
      <c r="L6" s="16">
        <f>IF(Mask!L6=1,0,-(Psi!M6-Psi!K6)/(2*p_h))</f>
        <v/>
      </c>
      <c r="M6" s="16">
        <f>IF(Mask!M6=1,0,-(Psi!N6-Psi!L6)/(2*p_h))</f>
        <v/>
      </c>
      <c r="N6" s="16">
        <f>IF(Mask!N6=1,0,-(Psi!O6-Psi!M6)/(2*p_h))</f>
        <v/>
      </c>
      <c r="O6" s="16">
        <f>IF(Mask!O6=1,0,-(Psi!P6-Psi!N6)/(2*p_h))</f>
        <v/>
      </c>
      <c r="P6" s="16">
        <f>IF(Mask!P6=1,0,-(Psi!Q6-Psi!O6)/(2*p_h))</f>
        <v/>
      </c>
      <c r="Q6" s="16">
        <f>IF(Mask!Q6=1,0,-(Psi!R6-Psi!P6)/(2*p_h))</f>
        <v/>
      </c>
      <c r="R6" s="16">
        <f>IF(Mask!R6=1,0,-(Psi!S6-Psi!Q6)/(2*p_h))</f>
        <v/>
      </c>
      <c r="S6" s="16">
        <f>IF(Mask!S6=1,0,-(Psi!T6-Psi!R6)/(2*p_h))</f>
        <v/>
      </c>
      <c r="T6" s="16">
        <f>IF(Mask!T6=1,0,-(Psi!U6-Psi!S6)/(2*p_h))</f>
        <v/>
      </c>
      <c r="U6" s="16">
        <f>IF(Mask!U6=1,0,-(Psi!V6-Psi!T6)/(2*p_h))</f>
        <v/>
      </c>
      <c r="V6" s="16">
        <f>IF(Mask!V6=1,0,-(Psi!W6-Psi!U6)/(2*p_h))</f>
        <v/>
      </c>
      <c r="W6" s="16">
        <f>IF(Mask!W6=1,0,-(Psi!X6-Psi!V6)/(2*p_h))</f>
        <v/>
      </c>
      <c r="X6" s="16">
        <f>IF(Mask!X6=1,0,-(Psi!Y6-Psi!W6)/(2*p_h))</f>
        <v/>
      </c>
      <c r="Y6" s="16">
        <f>IF(Mask!Y6=1,0,-(Psi!Z6-Psi!X6)/(2*p_h))</f>
        <v/>
      </c>
      <c r="Z6" s="16">
        <f>IF(Mask!Z6=1,0,-(Psi!AA6-Psi!Y6)/(2*p_h))</f>
        <v/>
      </c>
      <c r="AA6" s="16">
        <f>IF(Mask!AA6=1,0,-(Psi!AB6-Psi!Z6)/(2*p_h))</f>
        <v/>
      </c>
      <c r="AB6" s="16">
        <f>IF(Mask!AB6=1,0,-(Psi!AC6-Psi!AA6)/(2*p_h))</f>
        <v/>
      </c>
      <c r="AC6" s="16">
        <f>IF(Mask!AC6=1,0,-(Psi!AD6-Psi!AB6)/(2*p_h))</f>
        <v/>
      </c>
      <c r="AD6" s="16">
        <f>IF(Mask!AD6=1,0,-(Psi!AE6-Psi!AC6)/(2*p_h))</f>
        <v/>
      </c>
      <c r="AE6" s="16">
        <f>IF(Mask!AE6=1,0,-(Psi!AF6-Psi!AD6)/(2*p_h))</f>
        <v/>
      </c>
      <c r="AF6" s="16">
        <f>IF(Mask!AF6=1,0,-(Psi!AG6-Psi!AE6)/(2*p_h))</f>
        <v/>
      </c>
      <c r="AG6" s="16">
        <f>IF(Mask!AG6=1,0,-(Psi!AH6-Psi!AF6)/(2*p_h))</f>
        <v/>
      </c>
      <c r="AH6" s="16">
        <f>IF(Mask!AH6=1,0,-(Psi!AI6-Psi!AG6)/(2*p_h))</f>
        <v/>
      </c>
      <c r="AI6" s="16">
        <f>IF(Mask!AI6=1,0,-(Psi!AJ6-Psi!AH6)/(2*p_h))</f>
        <v/>
      </c>
      <c r="AJ6" s="16">
        <f>IF(Mask!AJ6=1,0,-(Psi!AK6-Psi!AI6)/(2*p_h))</f>
        <v/>
      </c>
      <c r="AK6" s="16">
        <f>IF(Mask!AK6=1,0,-(Psi!AL6-Psi!AJ6)/(2*p_h))</f>
        <v/>
      </c>
      <c r="AL6" s="16">
        <f>IF(Mask!AL6=1,0,-(Psi!AM6-Psi!AK6)/(2*p_h))</f>
        <v/>
      </c>
      <c r="AM6" s="16">
        <f>IF(Mask!AM6=1,0,-(Psi!AN6-Psi!AL6)/(2*p_h))</f>
        <v/>
      </c>
      <c r="AN6" s="16">
        <f>IF(Mask!AN6=1,0,-(Psi!AO6-Psi!AM6)/(2*p_h))</f>
        <v/>
      </c>
      <c r="AO6" s="16">
        <f>IF(Mask!AO6=1,0,-(Psi!AP6-Psi!AN6)/(2*p_h))</f>
        <v/>
      </c>
      <c r="AP6" s="16">
        <f>IF(Mask!AP6=1,0,-(Psi!AP6-Psi!AO6)/p_h)</f>
        <v/>
      </c>
    </row>
    <row r="7">
      <c r="A7" s="7">
        <f>A6-p_h</f>
        <v/>
      </c>
      <c r="B7" s="16">
        <f>IF(Mask!B7=1,0,-(Psi!C7-Psi!B7)/p_h)</f>
        <v/>
      </c>
      <c r="C7" s="16">
        <f>IF(Mask!C7=1,0,-(Psi!D7-Psi!B7)/(2*p_h))</f>
        <v/>
      </c>
      <c r="D7" s="16">
        <f>IF(Mask!D7=1,0,-(Psi!E7-Psi!C7)/(2*p_h))</f>
        <v/>
      </c>
      <c r="E7" s="16">
        <f>IF(Mask!E7=1,0,-(Psi!F7-Psi!D7)/(2*p_h))</f>
        <v/>
      </c>
      <c r="F7" s="16">
        <f>IF(Mask!F7=1,0,-(Psi!G7-Psi!E7)/(2*p_h))</f>
        <v/>
      </c>
      <c r="G7" s="16">
        <f>IF(Mask!G7=1,0,-(Psi!H7-Psi!F7)/(2*p_h))</f>
        <v/>
      </c>
      <c r="H7" s="16">
        <f>IF(Mask!H7=1,0,-(Psi!I7-Psi!G7)/(2*p_h))</f>
        <v/>
      </c>
      <c r="I7" s="16">
        <f>IF(Mask!I7=1,0,-(Psi!J7-Psi!H7)/(2*p_h))</f>
        <v/>
      </c>
      <c r="J7" s="16">
        <f>IF(Mask!J7=1,0,-(Psi!K7-Psi!I7)/(2*p_h))</f>
        <v/>
      </c>
      <c r="K7" s="16">
        <f>IF(Mask!K7=1,0,-(Psi!L7-Psi!J7)/(2*p_h))</f>
        <v/>
      </c>
      <c r="L7" s="16">
        <f>IF(Mask!L7=1,0,-(Psi!M7-Psi!K7)/(2*p_h))</f>
        <v/>
      </c>
      <c r="M7" s="16">
        <f>IF(Mask!M7=1,0,-(Psi!N7-Psi!L7)/(2*p_h))</f>
        <v/>
      </c>
      <c r="N7" s="16">
        <f>IF(Mask!N7=1,0,-(Psi!O7-Psi!M7)/(2*p_h))</f>
        <v/>
      </c>
      <c r="O7" s="16">
        <f>IF(Mask!O7=1,0,-(Psi!P7-Psi!N7)/(2*p_h))</f>
        <v/>
      </c>
      <c r="P7" s="16">
        <f>IF(Mask!P7=1,0,-(Psi!Q7-Psi!O7)/(2*p_h))</f>
        <v/>
      </c>
      <c r="Q7" s="16">
        <f>IF(Mask!Q7=1,0,-(Psi!R7-Psi!P7)/(2*p_h))</f>
        <v/>
      </c>
      <c r="R7" s="16">
        <f>IF(Mask!R7=1,0,-(Psi!S7-Psi!Q7)/(2*p_h))</f>
        <v/>
      </c>
      <c r="S7" s="16">
        <f>IF(Mask!S7=1,0,-(Psi!T7-Psi!R7)/(2*p_h))</f>
        <v/>
      </c>
      <c r="T7" s="16">
        <f>IF(Mask!T7=1,0,-(Psi!U7-Psi!S7)/(2*p_h))</f>
        <v/>
      </c>
      <c r="U7" s="16">
        <f>IF(Mask!U7=1,0,-(Psi!V7-Psi!T7)/(2*p_h))</f>
        <v/>
      </c>
      <c r="V7" s="16">
        <f>IF(Mask!V7=1,0,-(Psi!W7-Psi!U7)/(2*p_h))</f>
        <v/>
      </c>
      <c r="W7" s="16">
        <f>IF(Mask!W7=1,0,-(Psi!X7-Psi!V7)/(2*p_h))</f>
        <v/>
      </c>
      <c r="X7" s="16">
        <f>IF(Mask!X7=1,0,-(Psi!Y7-Psi!W7)/(2*p_h))</f>
        <v/>
      </c>
      <c r="Y7" s="16">
        <f>IF(Mask!Y7=1,0,-(Psi!Z7-Psi!X7)/(2*p_h))</f>
        <v/>
      </c>
      <c r="Z7" s="16">
        <f>IF(Mask!Z7=1,0,-(Psi!AA7-Psi!Y7)/(2*p_h))</f>
        <v/>
      </c>
      <c r="AA7" s="16">
        <f>IF(Mask!AA7=1,0,-(Psi!AB7-Psi!Z7)/(2*p_h))</f>
        <v/>
      </c>
      <c r="AB7" s="16">
        <f>IF(Mask!AB7=1,0,-(Psi!AC7-Psi!AA7)/(2*p_h))</f>
        <v/>
      </c>
      <c r="AC7" s="16">
        <f>IF(Mask!AC7=1,0,-(Psi!AD7-Psi!AB7)/(2*p_h))</f>
        <v/>
      </c>
      <c r="AD7" s="16">
        <f>IF(Mask!AD7=1,0,-(Psi!AE7-Psi!AC7)/(2*p_h))</f>
        <v/>
      </c>
      <c r="AE7" s="16">
        <f>IF(Mask!AE7=1,0,-(Psi!AF7-Psi!AD7)/(2*p_h))</f>
        <v/>
      </c>
      <c r="AF7" s="16">
        <f>IF(Mask!AF7=1,0,-(Psi!AG7-Psi!AE7)/(2*p_h))</f>
        <v/>
      </c>
      <c r="AG7" s="16">
        <f>IF(Mask!AG7=1,0,-(Psi!AH7-Psi!AF7)/(2*p_h))</f>
        <v/>
      </c>
      <c r="AH7" s="16">
        <f>IF(Mask!AH7=1,0,-(Psi!AI7-Psi!AG7)/(2*p_h))</f>
        <v/>
      </c>
      <c r="AI7" s="16">
        <f>IF(Mask!AI7=1,0,-(Psi!AJ7-Psi!AH7)/(2*p_h))</f>
        <v/>
      </c>
      <c r="AJ7" s="16">
        <f>IF(Mask!AJ7=1,0,-(Psi!AK7-Psi!AI7)/(2*p_h))</f>
        <v/>
      </c>
      <c r="AK7" s="16">
        <f>IF(Mask!AK7=1,0,-(Psi!AL7-Psi!AJ7)/(2*p_h))</f>
        <v/>
      </c>
      <c r="AL7" s="16">
        <f>IF(Mask!AL7=1,0,-(Psi!AM7-Psi!AK7)/(2*p_h))</f>
        <v/>
      </c>
      <c r="AM7" s="16">
        <f>IF(Mask!AM7=1,0,-(Psi!AN7-Psi!AL7)/(2*p_h))</f>
        <v/>
      </c>
      <c r="AN7" s="16">
        <f>IF(Mask!AN7=1,0,-(Psi!AO7-Psi!AM7)/(2*p_h))</f>
        <v/>
      </c>
      <c r="AO7" s="16">
        <f>IF(Mask!AO7=1,0,-(Psi!AP7-Psi!AN7)/(2*p_h))</f>
        <v/>
      </c>
      <c r="AP7" s="16">
        <f>IF(Mask!AP7=1,0,-(Psi!AP7-Psi!AO7)/p_h)</f>
        <v/>
      </c>
    </row>
    <row r="8">
      <c r="A8" s="7">
        <f>A7-p_h</f>
        <v/>
      </c>
      <c r="B8" s="16">
        <f>IF(Mask!B8=1,0,-(Psi!C8-Psi!B8)/p_h)</f>
        <v/>
      </c>
      <c r="C8" s="16">
        <f>IF(Mask!C8=1,0,-(Psi!D8-Psi!B8)/(2*p_h))</f>
        <v/>
      </c>
      <c r="D8" s="16">
        <f>IF(Mask!D8=1,0,-(Psi!E8-Psi!C8)/(2*p_h))</f>
        <v/>
      </c>
      <c r="E8" s="16">
        <f>IF(Mask!E8=1,0,-(Psi!F8-Psi!D8)/(2*p_h))</f>
        <v/>
      </c>
      <c r="F8" s="16">
        <f>IF(Mask!F8=1,0,-(Psi!G8-Psi!E8)/(2*p_h))</f>
        <v/>
      </c>
      <c r="G8" s="16">
        <f>IF(Mask!G8=1,0,-(Psi!H8-Psi!F8)/(2*p_h))</f>
        <v/>
      </c>
      <c r="H8" s="16">
        <f>IF(Mask!H8=1,0,-(Psi!I8-Psi!G8)/(2*p_h))</f>
        <v/>
      </c>
      <c r="I8" s="16">
        <f>IF(Mask!I8=1,0,-(Psi!J8-Psi!H8)/(2*p_h))</f>
        <v/>
      </c>
      <c r="J8" s="16">
        <f>IF(Mask!J8=1,0,-(Psi!K8-Psi!I8)/(2*p_h))</f>
        <v/>
      </c>
      <c r="K8" s="16">
        <f>IF(Mask!K8=1,0,-(Psi!L8-Psi!J8)/(2*p_h))</f>
        <v/>
      </c>
      <c r="L8" s="16">
        <f>IF(Mask!L8=1,0,-(Psi!M8-Psi!K8)/(2*p_h))</f>
        <v/>
      </c>
      <c r="M8" s="16">
        <f>IF(Mask!M8=1,0,-(Psi!N8-Psi!L8)/(2*p_h))</f>
        <v/>
      </c>
      <c r="N8" s="16">
        <f>IF(Mask!N8=1,0,-(Psi!O8-Psi!M8)/(2*p_h))</f>
        <v/>
      </c>
      <c r="O8" s="16">
        <f>IF(Mask!O8=1,0,-(Psi!P8-Psi!N8)/(2*p_h))</f>
        <v/>
      </c>
      <c r="P8" s="16">
        <f>IF(Mask!P8=1,0,-(Psi!Q8-Psi!O8)/(2*p_h))</f>
        <v/>
      </c>
      <c r="Q8" s="16">
        <f>IF(Mask!Q8=1,0,-(Psi!R8-Psi!P8)/(2*p_h))</f>
        <v/>
      </c>
      <c r="R8" s="16">
        <f>IF(Mask!R8=1,0,-(Psi!S8-Psi!Q8)/(2*p_h))</f>
        <v/>
      </c>
      <c r="S8" s="16">
        <f>IF(Mask!S8=1,0,-(Psi!T8-Psi!R8)/(2*p_h))</f>
        <v/>
      </c>
      <c r="T8" s="16">
        <f>IF(Mask!T8=1,0,-(Psi!U8-Psi!S8)/(2*p_h))</f>
        <v/>
      </c>
      <c r="U8" s="16">
        <f>IF(Mask!U8=1,0,-(Psi!V8-Psi!T8)/(2*p_h))</f>
        <v/>
      </c>
      <c r="V8" s="16">
        <f>IF(Mask!V8=1,0,-(Psi!W8-Psi!U8)/(2*p_h))</f>
        <v/>
      </c>
      <c r="W8" s="16">
        <f>IF(Mask!W8=1,0,-(Psi!X8-Psi!V8)/(2*p_h))</f>
        <v/>
      </c>
      <c r="X8" s="16">
        <f>IF(Mask!X8=1,0,-(Psi!Y8-Psi!W8)/(2*p_h))</f>
        <v/>
      </c>
      <c r="Y8" s="16">
        <f>IF(Mask!Y8=1,0,-(Psi!Z8-Psi!X8)/(2*p_h))</f>
        <v/>
      </c>
      <c r="Z8" s="16">
        <f>IF(Mask!Z8=1,0,-(Psi!AA8-Psi!Y8)/(2*p_h))</f>
        <v/>
      </c>
      <c r="AA8" s="16">
        <f>IF(Mask!AA8=1,0,-(Psi!AB8-Psi!Z8)/(2*p_h))</f>
        <v/>
      </c>
      <c r="AB8" s="16">
        <f>IF(Mask!AB8=1,0,-(Psi!AC8-Psi!AA8)/(2*p_h))</f>
        <v/>
      </c>
      <c r="AC8" s="16">
        <f>IF(Mask!AC8=1,0,-(Psi!AD8-Psi!AB8)/(2*p_h))</f>
        <v/>
      </c>
      <c r="AD8" s="16">
        <f>IF(Mask!AD8=1,0,-(Psi!AE8-Psi!AC8)/(2*p_h))</f>
        <v/>
      </c>
      <c r="AE8" s="16">
        <f>IF(Mask!AE8=1,0,-(Psi!AF8-Psi!AD8)/(2*p_h))</f>
        <v/>
      </c>
      <c r="AF8" s="16">
        <f>IF(Mask!AF8=1,0,-(Psi!AG8-Psi!AE8)/(2*p_h))</f>
        <v/>
      </c>
      <c r="AG8" s="16">
        <f>IF(Mask!AG8=1,0,-(Psi!AH8-Psi!AF8)/(2*p_h))</f>
        <v/>
      </c>
      <c r="AH8" s="16">
        <f>IF(Mask!AH8=1,0,-(Psi!AI8-Psi!AG8)/(2*p_h))</f>
        <v/>
      </c>
      <c r="AI8" s="16">
        <f>IF(Mask!AI8=1,0,-(Psi!AJ8-Psi!AH8)/(2*p_h))</f>
        <v/>
      </c>
      <c r="AJ8" s="16">
        <f>IF(Mask!AJ8=1,0,-(Psi!AK8-Psi!AI8)/(2*p_h))</f>
        <v/>
      </c>
      <c r="AK8" s="16">
        <f>IF(Mask!AK8=1,0,-(Psi!AL8-Psi!AJ8)/(2*p_h))</f>
        <v/>
      </c>
      <c r="AL8" s="16">
        <f>IF(Mask!AL8=1,0,-(Psi!AM8-Psi!AK8)/(2*p_h))</f>
        <v/>
      </c>
      <c r="AM8" s="16">
        <f>IF(Mask!AM8=1,0,-(Psi!AN8-Psi!AL8)/(2*p_h))</f>
        <v/>
      </c>
      <c r="AN8" s="16">
        <f>IF(Mask!AN8=1,0,-(Psi!AO8-Psi!AM8)/(2*p_h))</f>
        <v/>
      </c>
      <c r="AO8" s="16">
        <f>IF(Mask!AO8=1,0,-(Psi!AP8-Psi!AN8)/(2*p_h))</f>
        <v/>
      </c>
      <c r="AP8" s="16">
        <f>IF(Mask!AP8=1,0,-(Psi!AP8-Psi!AO8)/p_h)</f>
        <v/>
      </c>
    </row>
    <row r="9">
      <c r="A9" s="7">
        <f>A8-p_h</f>
        <v/>
      </c>
      <c r="B9" s="16">
        <f>IF(Mask!B9=1,0,-(Psi!C9-Psi!B9)/p_h)</f>
        <v/>
      </c>
      <c r="C9" s="16">
        <f>IF(Mask!C9=1,0,-(Psi!D9-Psi!B9)/(2*p_h))</f>
        <v/>
      </c>
      <c r="D9" s="16">
        <f>IF(Mask!D9=1,0,-(Psi!E9-Psi!C9)/(2*p_h))</f>
        <v/>
      </c>
      <c r="E9" s="16">
        <f>IF(Mask!E9=1,0,-(Psi!F9-Psi!D9)/(2*p_h))</f>
        <v/>
      </c>
      <c r="F9" s="16">
        <f>IF(Mask!F9=1,0,-(Psi!G9-Psi!E9)/(2*p_h))</f>
        <v/>
      </c>
      <c r="G9" s="16">
        <f>IF(Mask!G9=1,0,-(Psi!H9-Psi!F9)/(2*p_h))</f>
        <v/>
      </c>
      <c r="H9" s="16">
        <f>IF(Mask!H9=1,0,-(Psi!I9-Psi!G9)/(2*p_h))</f>
        <v/>
      </c>
      <c r="I9" s="16">
        <f>IF(Mask!I9=1,0,-(Psi!J9-Psi!H9)/(2*p_h))</f>
        <v/>
      </c>
      <c r="J9" s="16">
        <f>IF(Mask!J9=1,0,-(Psi!K9-Psi!I9)/(2*p_h))</f>
        <v/>
      </c>
      <c r="K9" s="16">
        <f>IF(Mask!K9=1,0,-(Psi!L9-Psi!J9)/(2*p_h))</f>
        <v/>
      </c>
      <c r="L9" s="16">
        <f>IF(Mask!L9=1,0,-(Psi!M9-Psi!K9)/(2*p_h))</f>
        <v/>
      </c>
      <c r="M9" s="16">
        <f>IF(Mask!M9=1,0,-(Psi!N9-Psi!L9)/(2*p_h))</f>
        <v/>
      </c>
      <c r="N9" s="16">
        <f>IF(Mask!N9=1,0,-(Psi!O9-Psi!M9)/(2*p_h))</f>
        <v/>
      </c>
      <c r="O9" s="16">
        <f>IF(Mask!O9=1,0,-(Psi!P9-Psi!N9)/(2*p_h))</f>
        <v/>
      </c>
      <c r="P9" s="16">
        <f>IF(Mask!P9=1,0,-(Psi!Q9-Psi!O9)/(2*p_h))</f>
        <v/>
      </c>
      <c r="Q9" s="16">
        <f>IF(Mask!Q9=1,0,-(Psi!R9-Psi!P9)/(2*p_h))</f>
        <v/>
      </c>
      <c r="R9" s="16">
        <f>IF(Mask!R9=1,0,-(Psi!S9-Psi!Q9)/(2*p_h))</f>
        <v/>
      </c>
      <c r="S9" s="16">
        <f>IF(Mask!S9=1,0,-(Psi!T9-Psi!R9)/(2*p_h))</f>
        <v/>
      </c>
      <c r="T9" s="16">
        <f>IF(Mask!T9=1,0,-(Psi!U9-Psi!S9)/(2*p_h))</f>
        <v/>
      </c>
      <c r="U9" s="16">
        <f>IF(Mask!U9=1,0,-(Psi!V9-Psi!T9)/(2*p_h))</f>
        <v/>
      </c>
      <c r="V9" s="16">
        <f>IF(Mask!V9=1,0,-(Psi!W9-Psi!U9)/(2*p_h))</f>
        <v/>
      </c>
      <c r="W9" s="16">
        <f>IF(Mask!W9=1,0,-(Psi!X9-Psi!V9)/(2*p_h))</f>
        <v/>
      </c>
      <c r="X9" s="16">
        <f>IF(Mask!X9=1,0,-(Psi!Y9-Psi!W9)/(2*p_h))</f>
        <v/>
      </c>
      <c r="Y9" s="16">
        <f>IF(Mask!Y9=1,0,-(Psi!Z9-Psi!X9)/(2*p_h))</f>
        <v/>
      </c>
      <c r="Z9" s="16">
        <f>IF(Mask!Z9=1,0,-(Psi!AA9-Psi!Y9)/(2*p_h))</f>
        <v/>
      </c>
      <c r="AA9" s="16">
        <f>IF(Mask!AA9=1,0,-(Psi!AB9-Psi!Z9)/(2*p_h))</f>
        <v/>
      </c>
      <c r="AB9" s="16">
        <f>IF(Mask!AB9=1,0,-(Psi!AC9-Psi!AA9)/(2*p_h))</f>
        <v/>
      </c>
      <c r="AC9" s="16">
        <f>IF(Mask!AC9=1,0,-(Psi!AD9-Psi!AB9)/(2*p_h))</f>
        <v/>
      </c>
      <c r="AD9" s="16">
        <f>IF(Mask!AD9=1,0,-(Psi!AE9-Psi!AC9)/(2*p_h))</f>
        <v/>
      </c>
      <c r="AE9" s="16">
        <f>IF(Mask!AE9=1,0,-(Psi!AF9-Psi!AD9)/(2*p_h))</f>
        <v/>
      </c>
      <c r="AF9" s="16">
        <f>IF(Mask!AF9=1,0,-(Psi!AG9-Psi!AE9)/(2*p_h))</f>
        <v/>
      </c>
      <c r="AG9" s="16">
        <f>IF(Mask!AG9=1,0,-(Psi!AH9-Psi!AF9)/(2*p_h))</f>
        <v/>
      </c>
      <c r="AH9" s="16">
        <f>IF(Mask!AH9=1,0,-(Psi!AI9-Psi!AG9)/(2*p_h))</f>
        <v/>
      </c>
      <c r="AI9" s="16">
        <f>IF(Mask!AI9=1,0,-(Psi!AJ9-Psi!AH9)/(2*p_h))</f>
        <v/>
      </c>
      <c r="AJ9" s="16">
        <f>IF(Mask!AJ9=1,0,-(Psi!AK9-Psi!AI9)/(2*p_h))</f>
        <v/>
      </c>
      <c r="AK9" s="16">
        <f>IF(Mask!AK9=1,0,-(Psi!AL9-Psi!AJ9)/(2*p_h))</f>
        <v/>
      </c>
      <c r="AL9" s="16">
        <f>IF(Mask!AL9=1,0,-(Psi!AM9-Psi!AK9)/(2*p_h))</f>
        <v/>
      </c>
      <c r="AM9" s="16">
        <f>IF(Mask!AM9=1,0,-(Psi!AN9-Psi!AL9)/(2*p_h))</f>
        <v/>
      </c>
      <c r="AN9" s="16">
        <f>IF(Mask!AN9=1,0,-(Psi!AO9-Psi!AM9)/(2*p_h))</f>
        <v/>
      </c>
      <c r="AO9" s="16">
        <f>IF(Mask!AO9=1,0,-(Psi!AP9-Psi!AN9)/(2*p_h))</f>
        <v/>
      </c>
      <c r="AP9" s="16">
        <f>IF(Mask!AP9=1,0,-(Psi!AP9-Psi!AO9)/p_h)</f>
        <v/>
      </c>
    </row>
    <row r="10">
      <c r="A10" s="7">
        <f>A9-p_h</f>
        <v/>
      </c>
      <c r="B10" s="16">
        <f>IF(Mask!B10=1,0,-(Psi!C10-Psi!B10)/p_h)</f>
        <v/>
      </c>
      <c r="C10" s="16">
        <f>IF(Mask!C10=1,0,-(Psi!D10-Psi!B10)/(2*p_h))</f>
        <v/>
      </c>
      <c r="D10" s="16">
        <f>IF(Mask!D10=1,0,-(Psi!E10-Psi!C10)/(2*p_h))</f>
        <v/>
      </c>
      <c r="E10" s="16">
        <f>IF(Mask!E10=1,0,-(Psi!F10-Psi!D10)/(2*p_h))</f>
        <v/>
      </c>
      <c r="F10" s="16">
        <f>IF(Mask!F10=1,0,-(Psi!G10-Psi!E10)/(2*p_h))</f>
        <v/>
      </c>
      <c r="G10" s="16">
        <f>IF(Mask!G10=1,0,-(Psi!H10-Psi!F10)/(2*p_h))</f>
        <v/>
      </c>
      <c r="H10" s="16">
        <f>IF(Mask!H10=1,0,-(Psi!I10-Psi!G10)/(2*p_h))</f>
        <v/>
      </c>
      <c r="I10" s="16">
        <f>IF(Mask!I10=1,0,-(Psi!J10-Psi!H10)/(2*p_h))</f>
        <v/>
      </c>
      <c r="J10" s="16">
        <f>IF(Mask!J10=1,0,-(Psi!K10-Psi!I10)/(2*p_h))</f>
        <v/>
      </c>
      <c r="K10" s="16">
        <f>IF(Mask!K10=1,0,-(Psi!L10-Psi!J10)/(2*p_h))</f>
        <v/>
      </c>
      <c r="L10" s="16">
        <f>IF(Mask!L10=1,0,-(Psi!M10-Psi!K10)/(2*p_h))</f>
        <v/>
      </c>
      <c r="M10" s="16">
        <f>IF(Mask!M10=1,0,-(Psi!N10-Psi!L10)/(2*p_h))</f>
        <v/>
      </c>
      <c r="N10" s="16">
        <f>IF(Mask!N10=1,0,-(Psi!O10-Psi!M10)/(2*p_h))</f>
        <v/>
      </c>
      <c r="O10" s="16">
        <f>IF(Mask!O10=1,0,-(Psi!P10-Psi!N10)/(2*p_h))</f>
        <v/>
      </c>
      <c r="P10" s="16">
        <f>IF(Mask!P10=1,0,-(Psi!Q10-Psi!O10)/(2*p_h))</f>
        <v/>
      </c>
      <c r="Q10" s="16">
        <f>IF(Mask!Q10=1,0,-(Psi!R10-Psi!P10)/(2*p_h))</f>
        <v/>
      </c>
      <c r="R10" s="16">
        <f>IF(Mask!R10=1,0,-(Psi!S10-Psi!Q10)/(2*p_h))</f>
        <v/>
      </c>
      <c r="S10" s="16">
        <f>IF(Mask!S10=1,0,-(Psi!T10-Psi!R10)/(2*p_h))</f>
        <v/>
      </c>
      <c r="T10" s="16">
        <f>IF(Mask!T10=1,0,-(Psi!U10-Psi!S10)/(2*p_h))</f>
        <v/>
      </c>
      <c r="U10" s="16">
        <f>IF(Mask!U10=1,0,-(Psi!V10-Psi!T10)/(2*p_h))</f>
        <v/>
      </c>
      <c r="V10" s="16">
        <f>IF(Mask!V10=1,0,-(Psi!W10-Psi!U10)/(2*p_h))</f>
        <v/>
      </c>
      <c r="W10" s="16">
        <f>IF(Mask!W10=1,0,-(Psi!X10-Psi!V10)/(2*p_h))</f>
        <v/>
      </c>
      <c r="X10" s="16">
        <f>IF(Mask!X10=1,0,-(Psi!Y10-Psi!W10)/(2*p_h))</f>
        <v/>
      </c>
      <c r="Y10" s="16">
        <f>IF(Mask!Y10=1,0,-(Psi!Z10-Psi!X10)/(2*p_h))</f>
        <v/>
      </c>
      <c r="Z10" s="16">
        <f>IF(Mask!Z10=1,0,-(Psi!AA10-Psi!Y10)/(2*p_h))</f>
        <v/>
      </c>
      <c r="AA10" s="16">
        <f>IF(Mask!AA10=1,0,-(Psi!AB10-Psi!Z10)/(2*p_h))</f>
        <v/>
      </c>
      <c r="AB10" s="16">
        <f>IF(Mask!AB10=1,0,-(Psi!AC10-Psi!AA10)/(2*p_h))</f>
        <v/>
      </c>
      <c r="AC10" s="16">
        <f>IF(Mask!AC10=1,0,-(Psi!AD10-Psi!AB10)/(2*p_h))</f>
        <v/>
      </c>
      <c r="AD10" s="16">
        <f>IF(Mask!AD10=1,0,-(Psi!AE10-Psi!AC10)/(2*p_h))</f>
        <v/>
      </c>
      <c r="AE10" s="16">
        <f>IF(Mask!AE10=1,0,-(Psi!AF10-Psi!AD10)/(2*p_h))</f>
        <v/>
      </c>
      <c r="AF10" s="16">
        <f>IF(Mask!AF10=1,0,-(Psi!AG10-Psi!AE10)/(2*p_h))</f>
        <v/>
      </c>
      <c r="AG10" s="16">
        <f>IF(Mask!AG10=1,0,-(Psi!AH10-Psi!AF10)/(2*p_h))</f>
        <v/>
      </c>
      <c r="AH10" s="16">
        <f>IF(Mask!AH10=1,0,-(Psi!AI10-Psi!AG10)/(2*p_h))</f>
        <v/>
      </c>
      <c r="AI10" s="16">
        <f>IF(Mask!AI10=1,0,-(Psi!AJ10-Psi!AH10)/(2*p_h))</f>
        <v/>
      </c>
      <c r="AJ10" s="16">
        <f>IF(Mask!AJ10=1,0,-(Psi!AK10-Psi!AI10)/(2*p_h))</f>
        <v/>
      </c>
      <c r="AK10" s="16">
        <f>IF(Mask!AK10=1,0,-(Psi!AL10-Psi!AJ10)/(2*p_h))</f>
        <v/>
      </c>
      <c r="AL10" s="16">
        <f>IF(Mask!AL10=1,0,-(Psi!AM10-Psi!AK10)/(2*p_h))</f>
        <v/>
      </c>
      <c r="AM10" s="16">
        <f>IF(Mask!AM10=1,0,-(Psi!AN10-Psi!AL10)/(2*p_h))</f>
        <v/>
      </c>
      <c r="AN10" s="16">
        <f>IF(Mask!AN10=1,0,-(Psi!AO10-Psi!AM10)/(2*p_h))</f>
        <v/>
      </c>
      <c r="AO10" s="16">
        <f>IF(Mask!AO10=1,0,-(Psi!AP10-Psi!AN10)/(2*p_h))</f>
        <v/>
      </c>
      <c r="AP10" s="16">
        <f>IF(Mask!AP10=1,0,-(Psi!AP10-Psi!AO10)/p_h)</f>
        <v/>
      </c>
    </row>
    <row r="11">
      <c r="A11" s="7">
        <f>A10-p_h</f>
        <v/>
      </c>
      <c r="B11" s="16">
        <f>IF(Mask!B11=1,0,-(Psi!C11-Psi!B11)/p_h)</f>
        <v/>
      </c>
      <c r="C11" s="16">
        <f>IF(Mask!C11=1,0,-(Psi!D11-Psi!B11)/(2*p_h))</f>
        <v/>
      </c>
      <c r="D11" s="16">
        <f>IF(Mask!D11=1,0,-(Psi!E11-Psi!C11)/(2*p_h))</f>
        <v/>
      </c>
      <c r="E11" s="16">
        <f>IF(Mask!E11=1,0,-(Psi!F11-Psi!D11)/(2*p_h))</f>
        <v/>
      </c>
      <c r="F11" s="16">
        <f>IF(Mask!F11=1,0,-(Psi!G11-Psi!E11)/(2*p_h))</f>
        <v/>
      </c>
      <c r="G11" s="16">
        <f>IF(Mask!G11=1,0,-(Psi!H11-Psi!F11)/(2*p_h))</f>
        <v/>
      </c>
      <c r="H11" s="16">
        <f>IF(Mask!H11=1,0,-(Psi!I11-Psi!G11)/(2*p_h))</f>
        <v/>
      </c>
      <c r="I11" s="16">
        <f>IF(Mask!I11=1,0,-(Psi!J11-Psi!H11)/(2*p_h))</f>
        <v/>
      </c>
      <c r="J11" s="16">
        <f>IF(Mask!J11=1,0,-(Psi!K11-Psi!I11)/(2*p_h))</f>
        <v/>
      </c>
      <c r="K11" s="16">
        <f>IF(Mask!K11=1,0,-(Psi!L11-Psi!J11)/(2*p_h))</f>
        <v/>
      </c>
      <c r="L11" s="16">
        <f>IF(Mask!L11=1,0,-(Psi!M11-Psi!K11)/(2*p_h))</f>
        <v/>
      </c>
      <c r="M11" s="16">
        <f>IF(Mask!M11=1,0,-(Psi!N11-Psi!L11)/(2*p_h))</f>
        <v/>
      </c>
      <c r="N11" s="16">
        <f>IF(Mask!N11=1,0,-(Psi!O11-Psi!M11)/(2*p_h))</f>
        <v/>
      </c>
      <c r="O11" s="16">
        <f>IF(Mask!O11=1,0,-(Psi!P11-Psi!N11)/(2*p_h))</f>
        <v/>
      </c>
      <c r="P11" s="16">
        <f>IF(Mask!P11=1,0,-(Psi!Q11-Psi!O11)/(2*p_h))</f>
        <v/>
      </c>
      <c r="Q11" s="16">
        <f>IF(Mask!Q11=1,0,-(Psi!R11-Psi!P11)/(2*p_h))</f>
        <v/>
      </c>
      <c r="R11" s="16">
        <f>IF(Mask!R11=1,0,-(Psi!S11-Psi!Q11)/(2*p_h))</f>
        <v/>
      </c>
      <c r="S11" s="16">
        <f>IF(Mask!S11=1,0,-(Psi!T11-Psi!R11)/(2*p_h))</f>
        <v/>
      </c>
      <c r="T11" s="16">
        <f>IF(Mask!T11=1,0,-(Psi!U11-Psi!S11)/(2*p_h))</f>
        <v/>
      </c>
      <c r="U11" s="16">
        <f>IF(Mask!U11=1,0,-(Psi!V11-Psi!T11)/(2*p_h))</f>
        <v/>
      </c>
      <c r="V11" s="16">
        <f>IF(Mask!V11=1,0,-(Psi!W11-Psi!U11)/(2*p_h))</f>
        <v/>
      </c>
      <c r="W11" s="16">
        <f>IF(Mask!W11=1,0,-(Psi!X11-Psi!V11)/(2*p_h))</f>
        <v/>
      </c>
      <c r="X11" s="16">
        <f>IF(Mask!X11=1,0,-(Psi!Y11-Psi!W11)/(2*p_h))</f>
        <v/>
      </c>
      <c r="Y11" s="16">
        <f>IF(Mask!Y11=1,0,-(Psi!Z11-Psi!X11)/(2*p_h))</f>
        <v/>
      </c>
      <c r="Z11" s="16">
        <f>IF(Mask!Z11=1,0,-(Psi!AA11-Psi!Y11)/(2*p_h))</f>
        <v/>
      </c>
      <c r="AA11" s="16">
        <f>IF(Mask!AA11=1,0,-(Psi!AB11-Psi!Z11)/(2*p_h))</f>
        <v/>
      </c>
      <c r="AB11" s="16">
        <f>IF(Mask!AB11=1,0,-(Psi!AC11-Psi!AA11)/(2*p_h))</f>
        <v/>
      </c>
      <c r="AC11" s="16">
        <f>IF(Mask!AC11=1,0,-(Psi!AD11-Psi!AB11)/(2*p_h))</f>
        <v/>
      </c>
      <c r="AD11" s="16">
        <f>IF(Mask!AD11=1,0,-(Psi!AE11-Psi!AC11)/(2*p_h))</f>
        <v/>
      </c>
      <c r="AE11" s="16">
        <f>IF(Mask!AE11=1,0,-(Psi!AF11-Psi!AD11)/(2*p_h))</f>
        <v/>
      </c>
      <c r="AF11" s="16">
        <f>IF(Mask!AF11=1,0,-(Psi!AG11-Psi!AE11)/(2*p_h))</f>
        <v/>
      </c>
      <c r="AG11" s="16">
        <f>IF(Mask!AG11=1,0,-(Psi!AH11-Psi!AF11)/(2*p_h))</f>
        <v/>
      </c>
      <c r="AH11" s="16">
        <f>IF(Mask!AH11=1,0,-(Psi!AI11-Psi!AG11)/(2*p_h))</f>
        <v/>
      </c>
      <c r="AI11" s="16">
        <f>IF(Mask!AI11=1,0,-(Psi!AJ11-Psi!AH11)/(2*p_h))</f>
        <v/>
      </c>
      <c r="AJ11" s="16">
        <f>IF(Mask!AJ11=1,0,-(Psi!AK11-Psi!AI11)/(2*p_h))</f>
        <v/>
      </c>
      <c r="AK11" s="16">
        <f>IF(Mask!AK11=1,0,-(Psi!AL11-Psi!AJ11)/(2*p_h))</f>
        <v/>
      </c>
      <c r="AL11" s="16">
        <f>IF(Mask!AL11=1,0,-(Psi!AM11-Psi!AK11)/(2*p_h))</f>
        <v/>
      </c>
      <c r="AM11" s="16">
        <f>IF(Mask!AM11=1,0,-(Psi!AN11-Psi!AL11)/(2*p_h))</f>
        <v/>
      </c>
      <c r="AN11" s="16">
        <f>IF(Mask!AN11=1,0,-(Psi!AO11-Psi!AM11)/(2*p_h))</f>
        <v/>
      </c>
      <c r="AO11" s="16">
        <f>IF(Mask!AO11=1,0,-(Psi!AP11-Psi!AN11)/(2*p_h))</f>
        <v/>
      </c>
      <c r="AP11" s="16">
        <f>IF(Mask!AP11=1,0,-(Psi!AP11-Psi!AO11)/p_h)</f>
        <v/>
      </c>
    </row>
    <row r="12">
      <c r="A12" s="7">
        <f>A11-p_h</f>
        <v/>
      </c>
      <c r="B12" s="16">
        <f>IF(Mask!B12=1,0,-(Psi!C12-Psi!B12)/p_h)</f>
        <v/>
      </c>
      <c r="C12" s="16">
        <f>IF(Mask!C12=1,0,-(Psi!D12-Psi!B12)/(2*p_h))</f>
        <v/>
      </c>
      <c r="D12" s="16">
        <f>IF(Mask!D12=1,0,-(Psi!E12-Psi!C12)/(2*p_h))</f>
        <v/>
      </c>
      <c r="E12" s="16">
        <f>IF(Mask!E12=1,0,-(Psi!F12-Psi!D12)/(2*p_h))</f>
        <v/>
      </c>
      <c r="F12" s="16">
        <f>IF(Mask!F12=1,0,-(Psi!G12-Psi!E12)/(2*p_h))</f>
        <v/>
      </c>
      <c r="G12" s="16">
        <f>IF(Mask!G12=1,0,-(Psi!H12-Psi!F12)/(2*p_h))</f>
        <v/>
      </c>
      <c r="H12" s="16">
        <f>IF(Mask!H12=1,0,-(Psi!I12-Psi!G12)/(2*p_h))</f>
        <v/>
      </c>
      <c r="I12" s="16">
        <f>IF(Mask!I12=1,0,-(Psi!J12-Psi!H12)/(2*p_h))</f>
        <v/>
      </c>
      <c r="J12" s="16">
        <f>IF(Mask!J12=1,0,-(Psi!K12-Psi!I12)/(2*p_h))</f>
        <v/>
      </c>
      <c r="K12" s="16">
        <f>IF(Mask!K12=1,0,-(Psi!L12-Psi!J12)/(2*p_h))</f>
        <v/>
      </c>
      <c r="L12" s="16">
        <f>IF(Mask!L12=1,0,-(Psi!M12-Psi!K12)/(2*p_h))</f>
        <v/>
      </c>
      <c r="M12" s="16">
        <f>IF(Mask!M12=1,0,-(Psi!N12-Psi!L12)/(2*p_h))</f>
        <v/>
      </c>
      <c r="N12" s="16">
        <f>IF(Mask!N12=1,0,-(Psi!O12-Psi!M12)/(2*p_h))</f>
        <v/>
      </c>
      <c r="O12" s="16">
        <f>IF(Mask!O12=1,0,-(Psi!P12-Psi!N12)/(2*p_h))</f>
        <v/>
      </c>
      <c r="P12" s="16">
        <f>IF(Mask!P12=1,0,-(Psi!Q12-Psi!O12)/(2*p_h))</f>
        <v/>
      </c>
      <c r="Q12" s="16">
        <f>IF(Mask!Q12=1,0,-(Psi!R12-Psi!P12)/(2*p_h))</f>
        <v/>
      </c>
      <c r="R12" s="16">
        <f>IF(Mask!R12=1,0,-(Psi!S12-Psi!Q12)/(2*p_h))</f>
        <v/>
      </c>
      <c r="S12" s="16">
        <f>IF(Mask!S12=1,0,-(Psi!T12-Psi!R12)/(2*p_h))</f>
        <v/>
      </c>
      <c r="T12" s="16">
        <f>IF(Mask!T12=1,0,-(Psi!U12-Psi!S12)/(2*p_h))</f>
        <v/>
      </c>
      <c r="U12" s="16">
        <f>IF(Mask!U12=1,0,-(Psi!V12-Psi!T12)/(2*p_h))</f>
        <v/>
      </c>
      <c r="V12" s="16">
        <f>IF(Mask!V12=1,0,-(Psi!W12-Psi!U12)/(2*p_h))</f>
        <v/>
      </c>
      <c r="W12" s="16">
        <f>IF(Mask!W12=1,0,-(Psi!X12-Psi!V12)/(2*p_h))</f>
        <v/>
      </c>
      <c r="X12" s="16">
        <f>IF(Mask!X12=1,0,-(Psi!Y12-Psi!W12)/(2*p_h))</f>
        <v/>
      </c>
      <c r="Y12" s="16">
        <f>IF(Mask!Y12=1,0,-(Psi!Z12-Psi!X12)/(2*p_h))</f>
        <v/>
      </c>
      <c r="Z12" s="16">
        <f>IF(Mask!Z12=1,0,-(Psi!AA12-Psi!Y12)/(2*p_h))</f>
        <v/>
      </c>
      <c r="AA12" s="16">
        <f>IF(Mask!AA12=1,0,-(Psi!AB12-Psi!Z12)/(2*p_h))</f>
        <v/>
      </c>
      <c r="AB12" s="16">
        <f>IF(Mask!AB12=1,0,-(Psi!AC12-Psi!AA12)/(2*p_h))</f>
        <v/>
      </c>
      <c r="AC12" s="16">
        <f>IF(Mask!AC12=1,0,-(Psi!AD12-Psi!AB12)/(2*p_h))</f>
        <v/>
      </c>
      <c r="AD12" s="16">
        <f>IF(Mask!AD12=1,0,-(Psi!AE12-Psi!AC12)/(2*p_h))</f>
        <v/>
      </c>
      <c r="AE12" s="16">
        <f>IF(Mask!AE12=1,0,-(Psi!AF12-Psi!AD12)/(2*p_h))</f>
        <v/>
      </c>
      <c r="AF12" s="16">
        <f>IF(Mask!AF12=1,0,-(Psi!AG12-Psi!AE12)/(2*p_h))</f>
        <v/>
      </c>
      <c r="AG12" s="16">
        <f>IF(Mask!AG12=1,0,-(Psi!AH12-Psi!AF12)/(2*p_h))</f>
        <v/>
      </c>
      <c r="AH12" s="16">
        <f>IF(Mask!AH12=1,0,-(Psi!AI12-Psi!AG12)/(2*p_h))</f>
        <v/>
      </c>
      <c r="AI12" s="16">
        <f>IF(Mask!AI12=1,0,-(Psi!AJ12-Psi!AH12)/(2*p_h))</f>
        <v/>
      </c>
      <c r="AJ12" s="16">
        <f>IF(Mask!AJ12=1,0,-(Psi!AK12-Psi!AI12)/(2*p_h))</f>
        <v/>
      </c>
      <c r="AK12" s="16">
        <f>IF(Mask!AK12=1,0,-(Psi!AL12-Psi!AJ12)/(2*p_h))</f>
        <v/>
      </c>
      <c r="AL12" s="16">
        <f>IF(Mask!AL12=1,0,-(Psi!AM12-Psi!AK12)/(2*p_h))</f>
        <v/>
      </c>
      <c r="AM12" s="16">
        <f>IF(Mask!AM12=1,0,-(Psi!AN12-Psi!AL12)/(2*p_h))</f>
        <v/>
      </c>
      <c r="AN12" s="16">
        <f>IF(Mask!AN12=1,0,-(Psi!AO12-Psi!AM12)/(2*p_h))</f>
        <v/>
      </c>
      <c r="AO12" s="16">
        <f>IF(Mask!AO12=1,0,-(Psi!AP12-Psi!AN12)/(2*p_h))</f>
        <v/>
      </c>
      <c r="AP12" s="16">
        <f>IF(Mask!AP12=1,0,-(Psi!AP12-Psi!AO12)/p_h)</f>
        <v/>
      </c>
    </row>
    <row r="13">
      <c r="A13" s="7">
        <f>A12-p_h</f>
        <v/>
      </c>
      <c r="B13" s="16">
        <f>IF(Mask!B13=1,0,-(Psi!C13-Psi!B13)/p_h)</f>
        <v/>
      </c>
      <c r="C13" s="16">
        <f>IF(Mask!C13=1,0,-(Psi!D13-Psi!B13)/(2*p_h))</f>
        <v/>
      </c>
      <c r="D13" s="16">
        <f>IF(Mask!D13=1,0,-(Psi!E13-Psi!C13)/(2*p_h))</f>
        <v/>
      </c>
      <c r="E13" s="16">
        <f>IF(Mask!E13=1,0,-(Psi!F13-Psi!D13)/(2*p_h))</f>
        <v/>
      </c>
      <c r="F13" s="16">
        <f>IF(Mask!F13=1,0,-(Psi!G13-Psi!E13)/(2*p_h))</f>
        <v/>
      </c>
      <c r="G13" s="16">
        <f>IF(Mask!G13=1,0,-(Psi!H13-Psi!F13)/(2*p_h))</f>
        <v/>
      </c>
      <c r="H13" s="16">
        <f>IF(Mask!H13=1,0,-(Psi!I13-Psi!G13)/(2*p_h))</f>
        <v/>
      </c>
      <c r="I13" s="16">
        <f>IF(Mask!I13=1,0,-(Psi!J13-Psi!H13)/(2*p_h))</f>
        <v/>
      </c>
      <c r="J13" s="16">
        <f>IF(Mask!J13=1,0,-(Psi!K13-Psi!I13)/(2*p_h))</f>
        <v/>
      </c>
      <c r="K13" s="16">
        <f>IF(Mask!K13=1,0,-(Psi!L13-Psi!J13)/(2*p_h))</f>
        <v/>
      </c>
      <c r="L13" s="16">
        <f>IF(Mask!L13=1,0,-(Psi!M13-Psi!K13)/(2*p_h))</f>
        <v/>
      </c>
      <c r="M13" s="16">
        <f>IF(Mask!M13=1,0,-(Psi!N13-Psi!L13)/(2*p_h))</f>
        <v/>
      </c>
      <c r="N13" s="16">
        <f>IF(Mask!N13=1,0,-(Psi!O13-Psi!M13)/(2*p_h))</f>
        <v/>
      </c>
      <c r="O13" s="16">
        <f>IF(Mask!O13=1,0,-(Psi!P13-Psi!N13)/(2*p_h))</f>
        <v/>
      </c>
      <c r="P13" s="16">
        <f>IF(Mask!P13=1,0,-(Psi!Q13-Psi!O13)/(2*p_h))</f>
        <v/>
      </c>
      <c r="Q13" s="16">
        <f>IF(Mask!Q13=1,0,-(Psi!R13-Psi!P13)/(2*p_h))</f>
        <v/>
      </c>
      <c r="R13" s="16">
        <f>IF(Mask!R13=1,0,-(Psi!S13-Psi!Q13)/(2*p_h))</f>
        <v/>
      </c>
      <c r="S13" s="16">
        <f>IF(Mask!S13=1,0,-(Psi!T13-Psi!R13)/(2*p_h))</f>
        <v/>
      </c>
      <c r="T13" s="16">
        <f>IF(Mask!T13=1,0,-(Psi!U13-Psi!S13)/(2*p_h))</f>
        <v/>
      </c>
      <c r="U13" s="16">
        <f>IF(Mask!U13=1,0,-(Psi!V13-Psi!T13)/(2*p_h))</f>
        <v/>
      </c>
      <c r="V13" s="16">
        <f>IF(Mask!V13=1,0,-(Psi!W13-Psi!U13)/(2*p_h))</f>
        <v/>
      </c>
      <c r="W13" s="16">
        <f>IF(Mask!W13=1,0,-(Psi!X13-Psi!V13)/(2*p_h))</f>
        <v/>
      </c>
      <c r="X13" s="16">
        <f>IF(Mask!X13=1,0,-(Psi!Y13-Psi!W13)/(2*p_h))</f>
        <v/>
      </c>
      <c r="Y13" s="16">
        <f>IF(Mask!Y13=1,0,-(Psi!Z13-Psi!X13)/(2*p_h))</f>
        <v/>
      </c>
      <c r="Z13" s="16">
        <f>IF(Mask!Z13=1,0,-(Psi!AA13-Psi!Y13)/(2*p_h))</f>
        <v/>
      </c>
      <c r="AA13" s="16">
        <f>IF(Mask!AA13=1,0,-(Psi!AB13-Psi!Z13)/(2*p_h))</f>
        <v/>
      </c>
      <c r="AB13" s="16">
        <f>IF(Mask!AB13=1,0,-(Psi!AC13-Psi!AA13)/(2*p_h))</f>
        <v/>
      </c>
      <c r="AC13" s="16">
        <f>IF(Mask!AC13=1,0,-(Psi!AD13-Psi!AB13)/(2*p_h))</f>
        <v/>
      </c>
      <c r="AD13" s="16">
        <f>IF(Mask!AD13=1,0,-(Psi!AE13-Psi!AC13)/(2*p_h))</f>
        <v/>
      </c>
      <c r="AE13" s="16">
        <f>IF(Mask!AE13=1,0,-(Psi!AF13-Psi!AD13)/(2*p_h))</f>
        <v/>
      </c>
      <c r="AF13" s="16">
        <f>IF(Mask!AF13=1,0,-(Psi!AG13-Psi!AE13)/(2*p_h))</f>
        <v/>
      </c>
      <c r="AG13" s="16">
        <f>IF(Mask!AG13=1,0,-(Psi!AH13-Psi!AF13)/(2*p_h))</f>
        <v/>
      </c>
      <c r="AH13" s="16">
        <f>IF(Mask!AH13=1,0,-(Psi!AI13-Psi!AG13)/(2*p_h))</f>
        <v/>
      </c>
      <c r="AI13" s="16">
        <f>IF(Mask!AI13=1,0,-(Psi!AJ13-Psi!AH13)/(2*p_h))</f>
        <v/>
      </c>
      <c r="AJ13" s="16">
        <f>IF(Mask!AJ13=1,0,-(Psi!AK13-Psi!AI13)/(2*p_h))</f>
        <v/>
      </c>
      <c r="AK13" s="16">
        <f>IF(Mask!AK13=1,0,-(Psi!AL13-Psi!AJ13)/(2*p_h))</f>
        <v/>
      </c>
      <c r="AL13" s="16">
        <f>IF(Mask!AL13=1,0,-(Psi!AM13-Psi!AK13)/(2*p_h))</f>
        <v/>
      </c>
      <c r="AM13" s="16">
        <f>IF(Mask!AM13=1,0,-(Psi!AN13-Psi!AL13)/(2*p_h))</f>
        <v/>
      </c>
      <c r="AN13" s="16">
        <f>IF(Mask!AN13=1,0,-(Psi!AO13-Psi!AM13)/(2*p_h))</f>
        <v/>
      </c>
      <c r="AO13" s="16">
        <f>IF(Mask!AO13=1,0,-(Psi!AP13-Psi!AN13)/(2*p_h))</f>
        <v/>
      </c>
      <c r="AP13" s="16">
        <f>IF(Mask!AP13=1,0,-(Psi!AP13-Psi!AO13)/p_h)</f>
        <v/>
      </c>
    </row>
    <row r="14">
      <c r="A14" s="7">
        <f>A13-p_h</f>
        <v/>
      </c>
      <c r="B14" s="16">
        <f>IF(Mask!B14=1,0,-(Psi!C14-Psi!B14)/p_h)</f>
        <v/>
      </c>
      <c r="C14" s="16">
        <f>IF(Mask!C14=1,0,-(Psi!D14-Psi!B14)/(2*p_h))</f>
        <v/>
      </c>
      <c r="D14" s="16">
        <f>IF(Mask!D14=1,0,-(Psi!E14-Psi!C14)/(2*p_h))</f>
        <v/>
      </c>
      <c r="E14" s="16">
        <f>IF(Mask!E14=1,0,-(Psi!F14-Psi!D14)/(2*p_h))</f>
        <v/>
      </c>
      <c r="F14" s="16">
        <f>IF(Mask!F14=1,0,-(Psi!G14-Psi!E14)/(2*p_h))</f>
        <v/>
      </c>
      <c r="G14" s="16">
        <f>IF(Mask!G14=1,0,-(Psi!H14-Psi!F14)/(2*p_h))</f>
        <v/>
      </c>
      <c r="H14" s="16">
        <f>IF(Mask!H14=1,0,-(Psi!I14-Psi!G14)/(2*p_h))</f>
        <v/>
      </c>
      <c r="I14" s="16">
        <f>IF(Mask!I14=1,0,-(Psi!J14-Psi!H14)/(2*p_h))</f>
        <v/>
      </c>
      <c r="J14" s="16">
        <f>IF(Mask!J14=1,0,-(Psi!K14-Psi!I14)/(2*p_h))</f>
        <v/>
      </c>
      <c r="K14" s="16">
        <f>IF(Mask!K14=1,0,-(Psi!L14-Psi!J14)/(2*p_h))</f>
        <v/>
      </c>
      <c r="L14" s="16">
        <f>IF(Mask!L14=1,0,-(Psi!M14-Psi!K14)/(2*p_h))</f>
        <v/>
      </c>
      <c r="M14" s="16">
        <f>IF(Mask!M14=1,0,-(Psi!N14-Psi!L14)/(2*p_h))</f>
        <v/>
      </c>
      <c r="N14" s="16">
        <f>IF(Mask!N14=1,0,-(Psi!O14-Psi!M14)/(2*p_h))</f>
        <v/>
      </c>
      <c r="O14" s="16">
        <f>IF(Mask!O14=1,0,-(Psi!P14-Psi!N14)/(2*p_h))</f>
        <v/>
      </c>
      <c r="P14" s="16">
        <f>IF(Mask!P14=1,0,-(Psi!Q14-Psi!O14)/(2*p_h))</f>
        <v/>
      </c>
      <c r="Q14" s="16">
        <f>IF(Mask!Q14=1,0,-(Psi!R14-Psi!P14)/(2*p_h))</f>
        <v/>
      </c>
      <c r="R14" s="16">
        <f>IF(Mask!R14=1,0,-(Psi!S14-Psi!Q14)/(2*p_h))</f>
        <v/>
      </c>
      <c r="S14" s="16">
        <f>IF(Mask!S14=1,0,-(Psi!T14-Psi!R14)/(2*p_h))</f>
        <v/>
      </c>
      <c r="T14" s="16">
        <f>IF(Mask!T14=1,0,-(Psi!U14-Psi!S14)/(2*p_h))</f>
        <v/>
      </c>
      <c r="U14" s="16">
        <f>IF(Mask!U14=1,0,-(Psi!V14-Psi!T14)/(2*p_h))</f>
        <v/>
      </c>
      <c r="V14" s="16">
        <f>IF(Mask!V14=1,0,-(Psi!W14-Psi!U14)/(2*p_h))</f>
        <v/>
      </c>
      <c r="W14" s="16">
        <f>IF(Mask!W14=1,0,-(Psi!X14-Psi!V14)/(2*p_h))</f>
        <v/>
      </c>
      <c r="X14" s="16">
        <f>IF(Mask!X14=1,0,-(Psi!Y14-Psi!W14)/(2*p_h))</f>
        <v/>
      </c>
      <c r="Y14" s="16">
        <f>IF(Mask!Y14=1,0,-(Psi!Z14-Psi!X14)/(2*p_h))</f>
        <v/>
      </c>
      <c r="Z14" s="16">
        <f>IF(Mask!Z14=1,0,-(Psi!AA14-Psi!Y14)/(2*p_h))</f>
        <v/>
      </c>
      <c r="AA14" s="16">
        <f>IF(Mask!AA14=1,0,-(Psi!AB14-Psi!Z14)/(2*p_h))</f>
        <v/>
      </c>
      <c r="AB14" s="16">
        <f>IF(Mask!AB14=1,0,-(Psi!AC14-Psi!AA14)/(2*p_h))</f>
        <v/>
      </c>
      <c r="AC14" s="16">
        <f>IF(Mask!AC14=1,0,-(Psi!AD14-Psi!AB14)/(2*p_h))</f>
        <v/>
      </c>
      <c r="AD14" s="16">
        <f>IF(Mask!AD14=1,0,-(Psi!AE14-Psi!AC14)/(2*p_h))</f>
        <v/>
      </c>
      <c r="AE14" s="16">
        <f>IF(Mask!AE14=1,0,-(Psi!AF14-Psi!AD14)/(2*p_h))</f>
        <v/>
      </c>
      <c r="AF14" s="16">
        <f>IF(Mask!AF14=1,0,-(Psi!AG14-Psi!AE14)/(2*p_h))</f>
        <v/>
      </c>
      <c r="AG14" s="16">
        <f>IF(Mask!AG14=1,0,-(Psi!AH14-Psi!AF14)/(2*p_h))</f>
        <v/>
      </c>
      <c r="AH14" s="16">
        <f>IF(Mask!AH14=1,0,-(Psi!AI14-Psi!AG14)/(2*p_h))</f>
        <v/>
      </c>
      <c r="AI14" s="16">
        <f>IF(Mask!AI14=1,0,-(Psi!AJ14-Psi!AH14)/(2*p_h))</f>
        <v/>
      </c>
      <c r="AJ14" s="16">
        <f>IF(Mask!AJ14=1,0,-(Psi!AK14-Psi!AI14)/(2*p_h))</f>
        <v/>
      </c>
      <c r="AK14" s="16">
        <f>IF(Mask!AK14=1,0,-(Psi!AL14-Psi!AJ14)/(2*p_h))</f>
        <v/>
      </c>
      <c r="AL14" s="16">
        <f>IF(Mask!AL14=1,0,-(Psi!AM14-Psi!AK14)/(2*p_h))</f>
        <v/>
      </c>
      <c r="AM14" s="16">
        <f>IF(Mask!AM14=1,0,-(Psi!AN14-Psi!AL14)/(2*p_h))</f>
        <v/>
      </c>
      <c r="AN14" s="16">
        <f>IF(Mask!AN14=1,0,-(Psi!AO14-Psi!AM14)/(2*p_h))</f>
        <v/>
      </c>
      <c r="AO14" s="16">
        <f>IF(Mask!AO14=1,0,-(Psi!AP14-Psi!AN14)/(2*p_h))</f>
        <v/>
      </c>
      <c r="AP14" s="16">
        <f>IF(Mask!AP14=1,0,-(Psi!AP14-Psi!AO14)/p_h)</f>
        <v/>
      </c>
    </row>
    <row r="15">
      <c r="A15" s="7">
        <f>A14-p_h</f>
        <v/>
      </c>
      <c r="B15" s="16">
        <f>IF(Mask!B15=1,0,-(Psi!C15-Psi!B15)/p_h)</f>
        <v/>
      </c>
      <c r="C15" s="16">
        <f>IF(Mask!C15=1,0,-(Psi!D15-Psi!B15)/(2*p_h))</f>
        <v/>
      </c>
      <c r="D15" s="16">
        <f>IF(Mask!D15=1,0,-(Psi!E15-Psi!C15)/(2*p_h))</f>
        <v/>
      </c>
      <c r="E15" s="16">
        <f>IF(Mask!E15=1,0,-(Psi!F15-Psi!D15)/(2*p_h))</f>
        <v/>
      </c>
      <c r="F15" s="16">
        <f>IF(Mask!F15=1,0,-(Psi!G15-Psi!E15)/(2*p_h))</f>
        <v/>
      </c>
      <c r="G15" s="16">
        <f>IF(Mask!G15=1,0,-(Psi!H15-Psi!F15)/(2*p_h))</f>
        <v/>
      </c>
      <c r="H15" s="16">
        <f>IF(Mask!H15=1,0,-(Psi!I15-Psi!G15)/(2*p_h))</f>
        <v/>
      </c>
      <c r="I15" s="16">
        <f>IF(Mask!I15=1,0,-(Psi!J15-Psi!H15)/(2*p_h))</f>
        <v/>
      </c>
      <c r="J15" s="16">
        <f>IF(Mask!J15=1,0,-(Psi!K15-Psi!I15)/(2*p_h))</f>
        <v/>
      </c>
      <c r="K15" s="16">
        <f>IF(Mask!K15=1,0,-(Psi!L15-Psi!J15)/(2*p_h))</f>
        <v/>
      </c>
      <c r="L15" s="16">
        <f>IF(Mask!L15=1,0,-(Psi!M15-Psi!K15)/(2*p_h))</f>
        <v/>
      </c>
      <c r="M15" s="16">
        <f>IF(Mask!M15=1,0,-(Psi!N15-Psi!L15)/(2*p_h))</f>
        <v/>
      </c>
      <c r="N15" s="16">
        <f>IF(Mask!N15=1,0,-(Psi!O15-Psi!M15)/(2*p_h))</f>
        <v/>
      </c>
      <c r="O15" s="16">
        <f>IF(Mask!O15=1,0,-(Psi!P15-Psi!N15)/(2*p_h))</f>
        <v/>
      </c>
      <c r="P15" s="16">
        <f>IF(Mask!P15=1,0,-(Psi!Q15-Psi!O15)/(2*p_h))</f>
        <v/>
      </c>
      <c r="Q15" s="16">
        <f>IF(Mask!Q15=1,0,-(Psi!R15-Psi!P15)/(2*p_h))</f>
        <v/>
      </c>
      <c r="R15" s="16">
        <f>IF(Mask!R15=1,0,-(Psi!S15-Psi!Q15)/(2*p_h))</f>
        <v/>
      </c>
      <c r="S15" s="16">
        <f>IF(Mask!S15=1,0,-(Psi!T15-Psi!R15)/(2*p_h))</f>
        <v/>
      </c>
      <c r="T15" s="16">
        <f>IF(Mask!T15=1,0,-(Psi!U15-Psi!S15)/(2*p_h))</f>
        <v/>
      </c>
      <c r="U15" s="16">
        <f>IF(Mask!U15=1,0,-(Psi!V15-Psi!T15)/(2*p_h))</f>
        <v/>
      </c>
      <c r="V15" s="16">
        <f>IF(Mask!V15=1,0,-(Psi!W15-Psi!U15)/(2*p_h))</f>
        <v/>
      </c>
      <c r="W15" s="16">
        <f>IF(Mask!W15=1,0,-(Psi!X15-Psi!V15)/(2*p_h))</f>
        <v/>
      </c>
      <c r="X15" s="16">
        <f>IF(Mask!X15=1,0,-(Psi!Y15-Psi!W15)/(2*p_h))</f>
        <v/>
      </c>
      <c r="Y15" s="16">
        <f>IF(Mask!Y15=1,0,-(Psi!Z15-Psi!X15)/(2*p_h))</f>
        <v/>
      </c>
      <c r="Z15" s="16">
        <f>IF(Mask!Z15=1,0,-(Psi!AA15-Psi!Y15)/(2*p_h))</f>
        <v/>
      </c>
      <c r="AA15" s="16">
        <f>IF(Mask!AA15=1,0,-(Psi!AB15-Psi!Z15)/(2*p_h))</f>
        <v/>
      </c>
      <c r="AB15" s="16">
        <f>IF(Mask!AB15=1,0,-(Psi!AC15-Psi!AA15)/(2*p_h))</f>
        <v/>
      </c>
      <c r="AC15" s="16">
        <f>IF(Mask!AC15=1,0,-(Psi!AD15-Psi!AB15)/(2*p_h))</f>
        <v/>
      </c>
      <c r="AD15" s="16">
        <f>IF(Mask!AD15=1,0,-(Psi!AE15-Psi!AC15)/(2*p_h))</f>
        <v/>
      </c>
      <c r="AE15" s="16">
        <f>IF(Mask!AE15=1,0,-(Psi!AF15-Psi!AD15)/(2*p_h))</f>
        <v/>
      </c>
      <c r="AF15" s="16">
        <f>IF(Mask!AF15=1,0,-(Psi!AG15-Psi!AE15)/(2*p_h))</f>
        <v/>
      </c>
      <c r="AG15" s="16">
        <f>IF(Mask!AG15=1,0,-(Psi!AH15-Psi!AF15)/(2*p_h))</f>
        <v/>
      </c>
      <c r="AH15" s="16">
        <f>IF(Mask!AH15=1,0,-(Psi!AI15-Psi!AG15)/(2*p_h))</f>
        <v/>
      </c>
      <c r="AI15" s="16">
        <f>IF(Mask!AI15=1,0,-(Psi!AJ15-Psi!AH15)/(2*p_h))</f>
        <v/>
      </c>
      <c r="AJ15" s="16">
        <f>IF(Mask!AJ15=1,0,-(Psi!AK15-Psi!AI15)/(2*p_h))</f>
        <v/>
      </c>
      <c r="AK15" s="16">
        <f>IF(Mask!AK15=1,0,-(Psi!AL15-Psi!AJ15)/(2*p_h))</f>
        <v/>
      </c>
      <c r="AL15" s="16">
        <f>IF(Mask!AL15=1,0,-(Psi!AM15-Psi!AK15)/(2*p_h))</f>
        <v/>
      </c>
      <c r="AM15" s="16">
        <f>IF(Mask!AM15=1,0,-(Psi!AN15-Psi!AL15)/(2*p_h))</f>
        <v/>
      </c>
      <c r="AN15" s="16">
        <f>IF(Mask!AN15=1,0,-(Psi!AO15-Psi!AM15)/(2*p_h))</f>
        <v/>
      </c>
      <c r="AO15" s="16">
        <f>IF(Mask!AO15=1,0,-(Psi!AP15-Psi!AN15)/(2*p_h))</f>
        <v/>
      </c>
      <c r="AP15" s="16">
        <f>IF(Mask!AP15=1,0,-(Psi!AP15-Psi!AO15)/p_h)</f>
        <v/>
      </c>
    </row>
    <row r="16">
      <c r="A16" s="7">
        <f>A15-p_h</f>
        <v/>
      </c>
      <c r="B16" s="16">
        <f>IF(Mask!B16=1,0,-(Psi!C16-Psi!B16)/p_h)</f>
        <v/>
      </c>
      <c r="C16" s="16">
        <f>IF(Mask!C16=1,0,-(Psi!D16-Psi!B16)/(2*p_h))</f>
        <v/>
      </c>
      <c r="D16" s="16">
        <f>IF(Mask!D16=1,0,-(Psi!E16-Psi!C16)/(2*p_h))</f>
        <v/>
      </c>
      <c r="E16" s="16">
        <f>IF(Mask!E16=1,0,-(Psi!F16-Psi!D16)/(2*p_h))</f>
        <v/>
      </c>
      <c r="F16" s="16">
        <f>IF(Mask!F16=1,0,-(Psi!G16-Psi!E16)/(2*p_h))</f>
        <v/>
      </c>
      <c r="G16" s="16">
        <f>IF(Mask!G16=1,0,-(Psi!H16-Psi!F16)/(2*p_h))</f>
        <v/>
      </c>
      <c r="H16" s="16">
        <f>IF(Mask!H16=1,0,-(Psi!I16-Psi!G16)/(2*p_h))</f>
        <v/>
      </c>
      <c r="I16" s="16">
        <f>IF(Mask!I16=1,0,-(Psi!J16-Psi!H16)/(2*p_h))</f>
        <v/>
      </c>
      <c r="J16" s="16">
        <f>IF(Mask!J16=1,0,-(Psi!K16-Psi!I16)/(2*p_h))</f>
        <v/>
      </c>
      <c r="K16" s="16">
        <f>IF(Mask!K16=1,0,-(Psi!L16-Psi!J16)/(2*p_h))</f>
        <v/>
      </c>
      <c r="L16" s="16">
        <f>IF(Mask!L16=1,0,-(Psi!M16-Psi!K16)/(2*p_h))</f>
        <v/>
      </c>
      <c r="M16" s="16">
        <f>IF(Mask!M16=1,0,-(Psi!N16-Psi!L16)/(2*p_h))</f>
        <v/>
      </c>
      <c r="N16" s="16">
        <f>IF(Mask!N16=1,0,-(Psi!O16-Psi!M16)/(2*p_h))</f>
        <v/>
      </c>
      <c r="O16" s="16">
        <f>IF(Mask!O16=1,0,-(Psi!P16-Psi!N16)/(2*p_h))</f>
        <v/>
      </c>
      <c r="P16" s="16">
        <f>IF(Mask!P16=1,0,-(Psi!Q16-Psi!O16)/(2*p_h))</f>
        <v/>
      </c>
      <c r="Q16" s="16">
        <f>IF(Mask!Q16=1,0,-(Psi!R16-Psi!P16)/(2*p_h))</f>
        <v/>
      </c>
      <c r="R16" s="16">
        <f>IF(Mask!R16=1,0,-(Psi!S16-Psi!Q16)/(2*p_h))</f>
        <v/>
      </c>
      <c r="S16" s="16">
        <f>IF(Mask!S16=1,0,-(Psi!T16-Psi!R16)/(2*p_h))</f>
        <v/>
      </c>
      <c r="T16" s="16">
        <f>IF(Mask!T16=1,0,-(Psi!U16-Psi!S16)/(2*p_h))</f>
        <v/>
      </c>
      <c r="U16" s="16">
        <f>IF(Mask!U16=1,0,-(Psi!V16-Psi!T16)/(2*p_h))</f>
        <v/>
      </c>
      <c r="V16" s="16">
        <f>IF(Mask!V16=1,0,-(Psi!W16-Psi!U16)/(2*p_h))</f>
        <v/>
      </c>
      <c r="W16" s="16">
        <f>IF(Mask!W16=1,0,-(Psi!X16-Psi!V16)/(2*p_h))</f>
        <v/>
      </c>
      <c r="X16" s="16">
        <f>IF(Mask!X16=1,0,-(Psi!Y16-Psi!W16)/(2*p_h))</f>
        <v/>
      </c>
      <c r="Y16" s="16">
        <f>IF(Mask!Y16=1,0,-(Psi!Z16-Psi!X16)/(2*p_h))</f>
        <v/>
      </c>
      <c r="Z16" s="16">
        <f>IF(Mask!Z16=1,0,-(Psi!AA16-Psi!Y16)/(2*p_h))</f>
        <v/>
      </c>
      <c r="AA16" s="16">
        <f>IF(Mask!AA16=1,0,-(Psi!AB16-Psi!Z16)/(2*p_h))</f>
        <v/>
      </c>
      <c r="AB16" s="16">
        <f>IF(Mask!AB16=1,0,-(Psi!AC16-Psi!AA16)/(2*p_h))</f>
        <v/>
      </c>
      <c r="AC16" s="16">
        <f>IF(Mask!AC16=1,0,-(Psi!AD16-Psi!AB16)/(2*p_h))</f>
        <v/>
      </c>
      <c r="AD16" s="16">
        <f>IF(Mask!AD16=1,0,-(Psi!AE16-Psi!AC16)/(2*p_h))</f>
        <v/>
      </c>
      <c r="AE16" s="16">
        <f>IF(Mask!AE16=1,0,-(Psi!AF16-Psi!AD16)/(2*p_h))</f>
        <v/>
      </c>
      <c r="AF16" s="16">
        <f>IF(Mask!AF16=1,0,-(Psi!AG16-Psi!AE16)/(2*p_h))</f>
        <v/>
      </c>
      <c r="AG16" s="16">
        <f>IF(Mask!AG16=1,0,-(Psi!AH16-Psi!AF16)/(2*p_h))</f>
        <v/>
      </c>
      <c r="AH16" s="16">
        <f>IF(Mask!AH16=1,0,-(Psi!AI16-Psi!AG16)/(2*p_h))</f>
        <v/>
      </c>
      <c r="AI16" s="16">
        <f>IF(Mask!AI16=1,0,-(Psi!AJ16-Psi!AH16)/(2*p_h))</f>
        <v/>
      </c>
      <c r="AJ16" s="16">
        <f>IF(Mask!AJ16=1,0,-(Psi!AK16-Psi!AI16)/(2*p_h))</f>
        <v/>
      </c>
      <c r="AK16" s="16">
        <f>IF(Mask!AK16=1,0,-(Psi!AL16-Psi!AJ16)/(2*p_h))</f>
        <v/>
      </c>
      <c r="AL16" s="16">
        <f>IF(Mask!AL16=1,0,-(Psi!AM16-Psi!AK16)/(2*p_h))</f>
        <v/>
      </c>
      <c r="AM16" s="16">
        <f>IF(Mask!AM16=1,0,-(Psi!AN16-Psi!AL16)/(2*p_h))</f>
        <v/>
      </c>
      <c r="AN16" s="16">
        <f>IF(Mask!AN16=1,0,-(Psi!AO16-Psi!AM16)/(2*p_h))</f>
        <v/>
      </c>
      <c r="AO16" s="16">
        <f>IF(Mask!AO16=1,0,-(Psi!AP16-Psi!AN16)/(2*p_h))</f>
        <v/>
      </c>
      <c r="AP16" s="16">
        <f>IF(Mask!AP16=1,0,-(Psi!AP16-Psi!AO16)/p_h)</f>
        <v/>
      </c>
    </row>
    <row r="17">
      <c r="A17" s="7">
        <f>A16-p_h</f>
        <v/>
      </c>
      <c r="B17" s="16">
        <f>IF(Mask!B17=1,0,-(Psi!C17-Psi!B17)/p_h)</f>
        <v/>
      </c>
      <c r="C17" s="16">
        <f>IF(Mask!C17=1,0,-(Psi!D17-Psi!B17)/(2*p_h))</f>
        <v/>
      </c>
      <c r="D17" s="16">
        <f>IF(Mask!D17=1,0,-(Psi!E17-Psi!C17)/(2*p_h))</f>
        <v/>
      </c>
      <c r="E17" s="16">
        <f>IF(Mask!E17=1,0,-(Psi!F17-Psi!D17)/(2*p_h))</f>
        <v/>
      </c>
      <c r="F17" s="16">
        <f>IF(Mask!F17=1,0,-(Psi!G17-Psi!E17)/(2*p_h))</f>
        <v/>
      </c>
      <c r="G17" s="16">
        <f>IF(Mask!G17=1,0,-(Psi!H17-Psi!F17)/(2*p_h))</f>
        <v/>
      </c>
      <c r="H17" s="16">
        <f>IF(Mask!H17=1,0,-(Psi!I17-Psi!G17)/(2*p_h))</f>
        <v/>
      </c>
      <c r="I17" s="16">
        <f>IF(Mask!I17=1,0,-(Psi!J17-Psi!H17)/(2*p_h))</f>
        <v/>
      </c>
      <c r="J17" s="16">
        <f>IF(Mask!J17=1,0,-(Psi!K17-Psi!I17)/(2*p_h))</f>
        <v/>
      </c>
      <c r="K17" s="16">
        <f>IF(Mask!K17=1,0,-(Psi!L17-Psi!J17)/(2*p_h))</f>
        <v/>
      </c>
      <c r="L17" s="16">
        <f>IF(Mask!L17=1,0,-(Psi!M17-Psi!K17)/(2*p_h))</f>
        <v/>
      </c>
      <c r="M17" s="16">
        <f>IF(Mask!M17=1,0,-(Psi!N17-Psi!L17)/(2*p_h))</f>
        <v/>
      </c>
      <c r="N17" s="16">
        <f>IF(Mask!N17=1,0,-(Psi!O17-Psi!M17)/(2*p_h))</f>
        <v/>
      </c>
      <c r="O17" s="16">
        <f>IF(Mask!O17=1,0,-(Psi!P17-Psi!N17)/(2*p_h))</f>
        <v/>
      </c>
      <c r="P17" s="16">
        <f>IF(Mask!P17=1,0,-(Psi!Q17-Psi!O17)/(2*p_h))</f>
        <v/>
      </c>
      <c r="Q17" s="16">
        <f>IF(Mask!Q17=1,0,-(Psi!R17-Psi!P17)/(2*p_h))</f>
        <v/>
      </c>
      <c r="R17" s="16">
        <f>IF(Mask!R17=1,0,-(Psi!S17-Psi!Q17)/(2*p_h))</f>
        <v/>
      </c>
      <c r="S17" s="16">
        <f>IF(Mask!S17=1,0,-(Psi!T17-Psi!R17)/(2*p_h))</f>
        <v/>
      </c>
      <c r="T17" s="16">
        <f>IF(Mask!T17=1,0,-(Psi!U17-Psi!S17)/(2*p_h))</f>
        <v/>
      </c>
      <c r="U17" s="16">
        <f>IF(Mask!U17=1,0,-(Psi!V17-Psi!T17)/(2*p_h))</f>
        <v/>
      </c>
      <c r="V17" s="16">
        <f>IF(Mask!V17=1,0,-(Psi!W17-Psi!U17)/(2*p_h))</f>
        <v/>
      </c>
      <c r="W17" s="16">
        <f>IF(Mask!W17=1,0,-(Psi!X17-Psi!V17)/(2*p_h))</f>
        <v/>
      </c>
      <c r="X17" s="16">
        <f>IF(Mask!X17=1,0,-(Psi!Y17-Psi!W17)/(2*p_h))</f>
        <v/>
      </c>
      <c r="Y17" s="16">
        <f>IF(Mask!Y17=1,0,-(Psi!Z17-Psi!X17)/(2*p_h))</f>
        <v/>
      </c>
      <c r="Z17" s="16">
        <f>IF(Mask!Z17=1,0,-(Psi!AA17-Psi!Y17)/(2*p_h))</f>
        <v/>
      </c>
      <c r="AA17" s="16">
        <f>IF(Mask!AA17=1,0,-(Psi!AB17-Psi!Z17)/(2*p_h))</f>
        <v/>
      </c>
      <c r="AB17" s="16">
        <f>IF(Mask!AB17=1,0,-(Psi!AC17-Psi!AA17)/(2*p_h))</f>
        <v/>
      </c>
      <c r="AC17" s="16">
        <f>IF(Mask!AC17=1,0,-(Psi!AD17-Psi!AB17)/(2*p_h))</f>
        <v/>
      </c>
      <c r="AD17" s="16">
        <f>IF(Mask!AD17=1,0,-(Psi!AE17-Psi!AC17)/(2*p_h))</f>
        <v/>
      </c>
      <c r="AE17" s="16">
        <f>IF(Mask!AE17=1,0,-(Psi!AF17-Psi!AD17)/(2*p_h))</f>
        <v/>
      </c>
      <c r="AF17" s="16">
        <f>IF(Mask!AF17=1,0,-(Psi!AG17-Psi!AE17)/(2*p_h))</f>
        <v/>
      </c>
      <c r="AG17" s="16">
        <f>IF(Mask!AG17=1,0,-(Psi!AH17-Psi!AF17)/(2*p_h))</f>
        <v/>
      </c>
      <c r="AH17" s="16">
        <f>IF(Mask!AH17=1,0,-(Psi!AI17-Psi!AG17)/(2*p_h))</f>
        <v/>
      </c>
      <c r="AI17" s="16">
        <f>IF(Mask!AI17=1,0,-(Psi!AJ17-Psi!AH17)/(2*p_h))</f>
        <v/>
      </c>
      <c r="AJ17" s="16">
        <f>IF(Mask!AJ17=1,0,-(Psi!AK17-Psi!AI17)/(2*p_h))</f>
        <v/>
      </c>
      <c r="AK17" s="16">
        <f>IF(Mask!AK17=1,0,-(Psi!AL17-Psi!AJ17)/(2*p_h))</f>
        <v/>
      </c>
      <c r="AL17" s="16">
        <f>IF(Mask!AL17=1,0,-(Psi!AM17-Psi!AK17)/(2*p_h))</f>
        <v/>
      </c>
      <c r="AM17" s="16">
        <f>IF(Mask!AM17=1,0,-(Psi!AN17-Psi!AL17)/(2*p_h))</f>
        <v/>
      </c>
      <c r="AN17" s="16">
        <f>IF(Mask!AN17=1,0,-(Psi!AO17-Psi!AM17)/(2*p_h))</f>
        <v/>
      </c>
      <c r="AO17" s="16">
        <f>IF(Mask!AO17=1,0,-(Psi!AP17-Psi!AN17)/(2*p_h))</f>
        <v/>
      </c>
      <c r="AP17" s="16">
        <f>IF(Mask!AP17=1,0,-(Psi!AP17-Psi!AO17)/p_h)</f>
        <v/>
      </c>
    </row>
    <row r="18">
      <c r="A18" s="7">
        <f>A17-p_h</f>
        <v/>
      </c>
      <c r="B18" s="16">
        <f>IF(Mask!B18=1,0,-(Psi!C18-Psi!B18)/p_h)</f>
        <v/>
      </c>
      <c r="C18" s="16">
        <f>IF(Mask!C18=1,0,-(Psi!D18-Psi!B18)/(2*p_h))</f>
        <v/>
      </c>
      <c r="D18" s="16">
        <f>IF(Mask!D18=1,0,-(Psi!E18-Psi!C18)/(2*p_h))</f>
        <v/>
      </c>
      <c r="E18" s="16">
        <f>IF(Mask!E18=1,0,-(Psi!F18-Psi!D18)/(2*p_h))</f>
        <v/>
      </c>
      <c r="F18" s="16">
        <f>IF(Mask!F18=1,0,-(Psi!G18-Psi!E18)/(2*p_h))</f>
        <v/>
      </c>
      <c r="G18" s="16">
        <f>IF(Mask!G18=1,0,-(Psi!H18-Psi!F18)/(2*p_h))</f>
        <v/>
      </c>
      <c r="H18" s="16">
        <f>IF(Mask!H18=1,0,-(Psi!I18-Psi!G18)/(2*p_h))</f>
        <v/>
      </c>
      <c r="I18" s="16">
        <f>IF(Mask!I18=1,0,-(Psi!J18-Psi!H18)/(2*p_h))</f>
        <v/>
      </c>
      <c r="J18" s="16">
        <f>IF(Mask!J18=1,0,-(Psi!K18-Psi!I18)/(2*p_h))</f>
        <v/>
      </c>
      <c r="K18" s="16">
        <f>IF(Mask!K18=1,0,-(Psi!L18-Psi!J18)/(2*p_h))</f>
        <v/>
      </c>
      <c r="L18" s="16">
        <f>IF(Mask!L18=1,0,-(Psi!M18-Psi!K18)/(2*p_h))</f>
        <v/>
      </c>
      <c r="M18" s="16">
        <f>IF(Mask!M18=1,0,-(Psi!N18-Psi!L18)/(2*p_h))</f>
        <v/>
      </c>
      <c r="N18" s="16">
        <f>IF(Mask!N18=1,0,-(Psi!O18-Psi!M18)/(2*p_h))</f>
        <v/>
      </c>
      <c r="O18" s="16">
        <f>IF(Mask!O18=1,0,-(Psi!P18-Psi!N18)/(2*p_h))</f>
        <v/>
      </c>
      <c r="P18" s="16">
        <f>IF(Mask!P18=1,0,-(Psi!Q18-Psi!O18)/(2*p_h))</f>
        <v/>
      </c>
      <c r="Q18" s="16">
        <f>IF(Mask!Q18=1,0,-(Psi!R18-Psi!P18)/(2*p_h))</f>
        <v/>
      </c>
      <c r="R18" s="16">
        <f>IF(Mask!R18=1,0,-(Psi!S18-Psi!Q18)/(2*p_h))</f>
        <v/>
      </c>
      <c r="S18" s="16">
        <f>IF(Mask!S18=1,0,-(Psi!T18-Psi!R18)/(2*p_h))</f>
        <v/>
      </c>
      <c r="T18" s="16">
        <f>IF(Mask!T18=1,0,-(Psi!U18-Psi!S18)/(2*p_h))</f>
        <v/>
      </c>
      <c r="U18" s="16">
        <f>IF(Mask!U18=1,0,-(Psi!V18-Psi!T18)/(2*p_h))</f>
        <v/>
      </c>
      <c r="V18" s="16">
        <f>IF(Mask!V18=1,0,-(Psi!W18-Psi!U18)/(2*p_h))</f>
        <v/>
      </c>
      <c r="W18" s="16">
        <f>IF(Mask!W18=1,0,-(Psi!X18-Psi!V18)/(2*p_h))</f>
        <v/>
      </c>
      <c r="X18" s="16">
        <f>IF(Mask!X18=1,0,-(Psi!Y18-Psi!W18)/(2*p_h))</f>
        <v/>
      </c>
      <c r="Y18" s="16">
        <f>IF(Mask!Y18=1,0,-(Psi!Z18-Psi!X18)/(2*p_h))</f>
        <v/>
      </c>
      <c r="Z18" s="16">
        <f>IF(Mask!Z18=1,0,-(Psi!AA18-Psi!Y18)/(2*p_h))</f>
        <v/>
      </c>
      <c r="AA18" s="16">
        <f>IF(Mask!AA18=1,0,-(Psi!AB18-Psi!Z18)/(2*p_h))</f>
        <v/>
      </c>
      <c r="AB18" s="16">
        <f>IF(Mask!AB18=1,0,-(Psi!AC18-Psi!AA18)/(2*p_h))</f>
        <v/>
      </c>
      <c r="AC18" s="16">
        <f>IF(Mask!AC18=1,0,-(Psi!AD18-Psi!AB18)/(2*p_h))</f>
        <v/>
      </c>
      <c r="AD18" s="16">
        <f>IF(Mask!AD18=1,0,-(Psi!AE18-Psi!AC18)/(2*p_h))</f>
        <v/>
      </c>
      <c r="AE18" s="16">
        <f>IF(Mask!AE18=1,0,-(Psi!AF18-Psi!AD18)/(2*p_h))</f>
        <v/>
      </c>
      <c r="AF18" s="16">
        <f>IF(Mask!AF18=1,0,-(Psi!AG18-Psi!AE18)/(2*p_h))</f>
        <v/>
      </c>
      <c r="AG18" s="16">
        <f>IF(Mask!AG18=1,0,-(Psi!AH18-Psi!AF18)/(2*p_h))</f>
        <v/>
      </c>
      <c r="AH18" s="16">
        <f>IF(Mask!AH18=1,0,-(Psi!AI18-Psi!AG18)/(2*p_h))</f>
        <v/>
      </c>
      <c r="AI18" s="16">
        <f>IF(Mask!AI18=1,0,-(Psi!AJ18-Psi!AH18)/(2*p_h))</f>
        <v/>
      </c>
      <c r="AJ18" s="16">
        <f>IF(Mask!AJ18=1,0,-(Psi!AK18-Psi!AI18)/(2*p_h))</f>
        <v/>
      </c>
      <c r="AK18" s="16">
        <f>IF(Mask!AK18=1,0,-(Psi!AL18-Psi!AJ18)/(2*p_h))</f>
        <v/>
      </c>
      <c r="AL18" s="16">
        <f>IF(Mask!AL18=1,0,-(Psi!AM18-Psi!AK18)/(2*p_h))</f>
        <v/>
      </c>
      <c r="AM18" s="16">
        <f>IF(Mask!AM18=1,0,-(Psi!AN18-Psi!AL18)/(2*p_h))</f>
        <v/>
      </c>
      <c r="AN18" s="16">
        <f>IF(Mask!AN18=1,0,-(Psi!AO18-Psi!AM18)/(2*p_h))</f>
        <v/>
      </c>
      <c r="AO18" s="16">
        <f>IF(Mask!AO18=1,0,-(Psi!AP18-Psi!AN18)/(2*p_h))</f>
        <v/>
      </c>
      <c r="AP18" s="16">
        <f>IF(Mask!AP18=1,0,-(Psi!AP18-Psi!AO18)/p_h)</f>
        <v/>
      </c>
    </row>
    <row r="19">
      <c r="A19" s="7">
        <f>A18-p_h</f>
        <v/>
      </c>
      <c r="B19" s="16">
        <f>IF(Mask!B19=1,0,-(Psi!C19-Psi!B19)/p_h)</f>
        <v/>
      </c>
      <c r="C19" s="16">
        <f>IF(Mask!C19=1,0,-(Psi!D19-Psi!B19)/(2*p_h))</f>
        <v/>
      </c>
      <c r="D19" s="16">
        <f>IF(Mask!D19=1,0,-(Psi!E19-Psi!C19)/(2*p_h))</f>
        <v/>
      </c>
      <c r="E19" s="16">
        <f>IF(Mask!E19=1,0,-(Psi!F19-Psi!D19)/(2*p_h))</f>
        <v/>
      </c>
      <c r="F19" s="16">
        <f>IF(Mask!F19=1,0,-(Psi!G19-Psi!E19)/(2*p_h))</f>
        <v/>
      </c>
      <c r="G19" s="16">
        <f>IF(Mask!G19=1,0,-(Psi!H19-Psi!F19)/(2*p_h))</f>
        <v/>
      </c>
      <c r="H19" s="16">
        <f>IF(Mask!H19=1,0,-(Psi!I19-Psi!G19)/(2*p_h))</f>
        <v/>
      </c>
      <c r="I19" s="16">
        <f>IF(Mask!I19=1,0,-(Psi!J19-Psi!H19)/(2*p_h))</f>
        <v/>
      </c>
      <c r="J19" s="16">
        <f>IF(Mask!J19=1,0,-(Psi!K19-Psi!I19)/(2*p_h))</f>
        <v/>
      </c>
      <c r="K19" s="16">
        <f>IF(Mask!K19=1,0,-(Psi!L19-Psi!J19)/(2*p_h))</f>
        <v/>
      </c>
      <c r="L19" s="16">
        <f>IF(Mask!L19=1,0,-(Psi!M19-Psi!K19)/(2*p_h))</f>
        <v/>
      </c>
      <c r="M19" s="16">
        <f>IF(Mask!M19=1,0,-(Psi!N19-Psi!L19)/(2*p_h))</f>
        <v/>
      </c>
      <c r="N19" s="16">
        <f>IF(Mask!N19=1,0,-(Psi!O19-Psi!M19)/(2*p_h))</f>
        <v/>
      </c>
      <c r="O19" s="16">
        <f>IF(Mask!O19=1,0,-(Psi!P19-Psi!N19)/(2*p_h))</f>
        <v/>
      </c>
      <c r="P19" s="16">
        <f>IF(Mask!P19=1,0,-(Psi!Q19-Psi!O19)/(2*p_h))</f>
        <v/>
      </c>
      <c r="Q19" s="16">
        <f>IF(Mask!Q19=1,0,-(Psi!R19-Psi!P19)/(2*p_h))</f>
        <v/>
      </c>
      <c r="R19" s="16">
        <f>IF(Mask!R19=1,0,-(Psi!S19-Psi!Q19)/(2*p_h))</f>
        <v/>
      </c>
      <c r="S19" s="16">
        <f>IF(Mask!S19=1,0,-(Psi!T19-Psi!R19)/(2*p_h))</f>
        <v/>
      </c>
      <c r="T19" s="16">
        <f>IF(Mask!T19=1,0,-(Psi!U19-Psi!S19)/(2*p_h))</f>
        <v/>
      </c>
      <c r="U19" s="16">
        <f>IF(Mask!U19=1,0,-(Psi!V19-Psi!T19)/(2*p_h))</f>
        <v/>
      </c>
      <c r="V19" s="16">
        <f>IF(Mask!V19=1,0,-(Psi!W19-Psi!U19)/(2*p_h))</f>
        <v/>
      </c>
      <c r="W19" s="16">
        <f>IF(Mask!W19=1,0,-(Psi!X19-Psi!V19)/(2*p_h))</f>
        <v/>
      </c>
      <c r="X19" s="16">
        <f>IF(Mask!X19=1,0,-(Psi!Y19-Psi!W19)/(2*p_h))</f>
        <v/>
      </c>
      <c r="Y19" s="16">
        <f>IF(Mask!Y19=1,0,-(Psi!Z19-Psi!X19)/(2*p_h))</f>
        <v/>
      </c>
      <c r="Z19" s="16">
        <f>IF(Mask!Z19=1,0,-(Psi!AA19-Psi!Y19)/(2*p_h))</f>
        <v/>
      </c>
      <c r="AA19" s="16">
        <f>IF(Mask!AA19=1,0,-(Psi!AB19-Psi!Z19)/(2*p_h))</f>
        <v/>
      </c>
      <c r="AB19" s="16">
        <f>IF(Mask!AB19=1,0,-(Psi!AC19-Psi!AA19)/(2*p_h))</f>
        <v/>
      </c>
      <c r="AC19" s="16">
        <f>IF(Mask!AC19=1,0,-(Psi!AD19-Psi!AB19)/(2*p_h))</f>
        <v/>
      </c>
      <c r="AD19" s="16">
        <f>IF(Mask!AD19=1,0,-(Psi!AE19-Psi!AC19)/(2*p_h))</f>
        <v/>
      </c>
      <c r="AE19" s="16">
        <f>IF(Mask!AE19=1,0,-(Psi!AF19-Psi!AD19)/(2*p_h))</f>
        <v/>
      </c>
      <c r="AF19" s="16">
        <f>IF(Mask!AF19=1,0,-(Psi!AG19-Psi!AE19)/(2*p_h))</f>
        <v/>
      </c>
      <c r="AG19" s="16">
        <f>IF(Mask!AG19=1,0,-(Psi!AH19-Psi!AF19)/(2*p_h))</f>
        <v/>
      </c>
      <c r="AH19" s="16">
        <f>IF(Mask!AH19=1,0,-(Psi!AI19-Psi!AG19)/(2*p_h))</f>
        <v/>
      </c>
      <c r="AI19" s="16">
        <f>IF(Mask!AI19=1,0,-(Psi!AJ19-Psi!AH19)/(2*p_h))</f>
        <v/>
      </c>
      <c r="AJ19" s="16">
        <f>IF(Mask!AJ19=1,0,-(Psi!AK19-Psi!AI19)/(2*p_h))</f>
        <v/>
      </c>
      <c r="AK19" s="16">
        <f>IF(Mask!AK19=1,0,-(Psi!AL19-Psi!AJ19)/(2*p_h))</f>
        <v/>
      </c>
      <c r="AL19" s="16">
        <f>IF(Mask!AL19=1,0,-(Psi!AM19-Psi!AK19)/(2*p_h))</f>
        <v/>
      </c>
      <c r="AM19" s="16">
        <f>IF(Mask!AM19=1,0,-(Psi!AN19-Psi!AL19)/(2*p_h))</f>
        <v/>
      </c>
      <c r="AN19" s="16">
        <f>IF(Mask!AN19=1,0,-(Psi!AO19-Psi!AM19)/(2*p_h))</f>
        <v/>
      </c>
      <c r="AO19" s="16">
        <f>IF(Mask!AO19=1,0,-(Psi!AP19-Psi!AN19)/(2*p_h))</f>
        <v/>
      </c>
      <c r="AP19" s="16">
        <f>IF(Mask!AP19=1,0,-(Psi!AP19-Psi!AO19)/p_h)</f>
        <v/>
      </c>
    </row>
    <row r="20">
      <c r="A20" s="7">
        <f>A19-p_h</f>
        <v/>
      </c>
      <c r="B20" s="16">
        <f>IF(Mask!B20=1,0,-(Psi!C20-Psi!B20)/p_h)</f>
        <v/>
      </c>
      <c r="C20" s="16">
        <f>IF(Mask!C20=1,0,-(Psi!D20-Psi!B20)/(2*p_h))</f>
        <v/>
      </c>
      <c r="D20" s="16">
        <f>IF(Mask!D20=1,0,-(Psi!E20-Psi!C20)/(2*p_h))</f>
        <v/>
      </c>
      <c r="E20" s="16">
        <f>IF(Mask!E20=1,0,-(Psi!F20-Psi!D20)/(2*p_h))</f>
        <v/>
      </c>
      <c r="F20" s="16">
        <f>IF(Mask!F20=1,0,-(Psi!G20-Psi!E20)/(2*p_h))</f>
        <v/>
      </c>
      <c r="G20" s="16">
        <f>IF(Mask!G20=1,0,-(Psi!H20-Psi!F20)/(2*p_h))</f>
        <v/>
      </c>
      <c r="H20" s="16">
        <f>IF(Mask!H20=1,0,-(Psi!I20-Psi!G20)/(2*p_h))</f>
        <v/>
      </c>
      <c r="I20" s="16">
        <f>IF(Mask!I20=1,0,-(Psi!J20-Psi!H20)/(2*p_h))</f>
        <v/>
      </c>
      <c r="J20" s="16">
        <f>IF(Mask!J20=1,0,-(Psi!K20-Psi!I20)/(2*p_h))</f>
        <v/>
      </c>
      <c r="K20" s="16">
        <f>IF(Mask!K20=1,0,-(Psi!L20-Psi!J20)/(2*p_h))</f>
        <v/>
      </c>
      <c r="L20" s="16">
        <f>IF(Mask!L20=1,0,-(Psi!M20-Psi!K20)/(2*p_h))</f>
        <v/>
      </c>
      <c r="M20" s="16">
        <f>IF(Mask!M20=1,0,-(Psi!N20-Psi!L20)/(2*p_h))</f>
        <v/>
      </c>
      <c r="N20" s="16">
        <f>IF(Mask!N20=1,0,-(Psi!O20-Psi!M20)/(2*p_h))</f>
        <v/>
      </c>
      <c r="O20" s="16">
        <f>IF(Mask!O20=1,0,-(Psi!P20-Psi!N20)/(2*p_h))</f>
        <v/>
      </c>
      <c r="P20" s="16">
        <f>IF(Mask!P20=1,0,-(Psi!Q20-Psi!O20)/(2*p_h))</f>
        <v/>
      </c>
      <c r="Q20" s="16">
        <f>IF(Mask!Q20=1,0,-(Psi!R20-Psi!P20)/(2*p_h))</f>
        <v/>
      </c>
      <c r="R20" s="16">
        <f>IF(Mask!R20=1,0,-(Psi!S20-Psi!Q20)/(2*p_h))</f>
        <v/>
      </c>
      <c r="S20" s="16">
        <f>IF(Mask!S20=1,0,-(Psi!T20-Psi!R20)/(2*p_h))</f>
        <v/>
      </c>
      <c r="T20" s="16">
        <f>IF(Mask!T20=1,0,-(Psi!U20-Psi!S20)/(2*p_h))</f>
        <v/>
      </c>
      <c r="U20" s="16">
        <f>IF(Mask!U20=1,0,-(Psi!V20-Psi!T20)/(2*p_h))</f>
        <v/>
      </c>
      <c r="V20" s="16">
        <f>IF(Mask!V20=1,0,-(Psi!W20-Psi!U20)/(2*p_h))</f>
        <v/>
      </c>
      <c r="W20" s="16">
        <f>IF(Mask!W20=1,0,-(Psi!X20-Psi!V20)/(2*p_h))</f>
        <v/>
      </c>
      <c r="X20" s="16">
        <f>IF(Mask!X20=1,0,-(Psi!Y20-Psi!W20)/(2*p_h))</f>
        <v/>
      </c>
      <c r="Y20" s="16">
        <f>IF(Mask!Y20=1,0,-(Psi!Z20-Psi!X20)/(2*p_h))</f>
        <v/>
      </c>
      <c r="Z20" s="16">
        <f>IF(Mask!Z20=1,0,-(Psi!AA20-Psi!Y20)/(2*p_h))</f>
        <v/>
      </c>
      <c r="AA20" s="16">
        <f>IF(Mask!AA20=1,0,-(Psi!AB20-Psi!Z20)/(2*p_h))</f>
        <v/>
      </c>
      <c r="AB20" s="16">
        <f>IF(Mask!AB20=1,0,-(Psi!AC20-Psi!AA20)/(2*p_h))</f>
        <v/>
      </c>
      <c r="AC20" s="16">
        <f>IF(Mask!AC20=1,0,-(Psi!AD20-Psi!AB20)/(2*p_h))</f>
        <v/>
      </c>
      <c r="AD20" s="16">
        <f>IF(Mask!AD20=1,0,-(Psi!AE20-Psi!AC20)/(2*p_h))</f>
        <v/>
      </c>
      <c r="AE20" s="16">
        <f>IF(Mask!AE20=1,0,-(Psi!AF20-Psi!AD20)/(2*p_h))</f>
        <v/>
      </c>
      <c r="AF20" s="16">
        <f>IF(Mask!AF20=1,0,-(Psi!AG20-Psi!AE20)/(2*p_h))</f>
        <v/>
      </c>
      <c r="AG20" s="16">
        <f>IF(Mask!AG20=1,0,-(Psi!AH20-Psi!AF20)/(2*p_h))</f>
        <v/>
      </c>
      <c r="AH20" s="16">
        <f>IF(Mask!AH20=1,0,-(Psi!AI20-Psi!AG20)/(2*p_h))</f>
        <v/>
      </c>
      <c r="AI20" s="16">
        <f>IF(Mask!AI20=1,0,-(Psi!AJ20-Psi!AH20)/(2*p_h))</f>
        <v/>
      </c>
      <c r="AJ20" s="16">
        <f>IF(Mask!AJ20=1,0,-(Psi!AK20-Psi!AI20)/(2*p_h))</f>
        <v/>
      </c>
      <c r="AK20" s="16">
        <f>IF(Mask!AK20=1,0,-(Psi!AL20-Psi!AJ20)/(2*p_h))</f>
        <v/>
      </c>
      <c r="AL20" s="16">
        <f>IF(Mask!AL20=1,0,-(Psi!AM20-Psi!AK20)/(2*p_h))</f>
        <v/>
      </c>
      <c r="AM20" s="16">
        <f>IF(Mask!AM20=1,0,-(Psi!AN20-Psi!AL20)/(2*p_h))</f>
        <v/>
      </c>
      <c r="AN20" s="16">
        <f>IF(Mask!AN20=1,0,-(Psi!AO20-Psi!AM20)/(2*p_h))</f>
        <v/>
      </c>
      <c r="AO20" s="16">
        <f>IF(Mask!AO20=1,0,-(Psi!AP20-Psi!AN20)/(2*p_h))</f>
        <v/>
      </c>
      <c r="AP20" s="16">
        <f>IF(Mask!AP20=1,0,-(Psi!AP20-Psi!AO20)/p_h)</f>
        <v/>
      </c>
    </row>
    <row r="21">
      <c r="A21" s="7">
        <f>A20-p_h</f>
        <v/>
      </c>
      <c r="B21" s="16">
        <f>IF(Mask!B21=1,0,-(Psi!C21-Psi!B21)/p_h)</f>
        <v/>
      </c>
      <c r="C21" s="16">
        <f>IF(Mask!C21=1,0,-(Psi!D21-Psi!B21)/(2*p_h))</f>
        <v/>
      </c>
      <c r="D21" s="16">
        <f>IF(Mask!D21=1,0,-(Psi!E21-Psi!C21)/(2*p_h))</f>
        <v/>
      </c>
      <c r="E21" s="16">
        <f>IF(Mask!E21=1,0,-(Psi!F21-Psi!D21)/(2*p_h))</f>
        <v/>
      </c>
      <c r="F21" s="16">
        <f>IF(Mask!F21=1,0,-(Psi!G21-Psi!E21)/(2*p_h))</f>
        <v/>
      </c>
      <c r="G21" s="16">
        <f>IF(Mask!G21=1,0,-(Psi!H21-Psi!F21)/(2*p_h))</f>
        <v/>
      </c>
      <c r="H21" s="16">
        <f>IF(Mask!H21=1,0,-(Psi!I21-Psi!G21)/(2*p_h))</f>
        <v/>
      </c>
      <c r="I21" s="16">
        <f>IF(Mask!I21=1,0,-(Psi!J21-Psi!H21)/(2*p_h))</f>
        <v/>
      </c>
      <c r="J21" s="16">
        <f>IF(Mask!J21=1,0,-(Psi!K21-Psi!I21)/(2*p_h))</f>
        <v/>
      </c>
      <c r="K21" s="16">
        <f>IF(Mask!K21=1,0,-(Psi!L21-Psi!J21)/(2*p_h))</f>
        <v/>
      </c>
      <c r="L21" s="16">
        <f>IF(Mask!L21=1,0,-(Psi!M21-Psi!K21)/(2*p_h))</f>
        <v/>
      </c>
      <c r="M21" s="16">
        <f>IF(Mask!M21=1,0,-(Psi!N21-Psi!L21)/(2*p_h))</f>
        <v/>
      </c>
      <c r="N21" s="16">
        <f>IF(Mask!N21=1,0,-(Psi!O21-Psi!M21)/(2*p_h))</f>
        <v/>
      </c>
      <c r="O21" s="16">
        <f>IF(Mask!O21=1,0,-(Psi!P21-Psi!N21)/(2*p_h))</f>
        <v/>
      </c>
      <c r="P21" s="16">
        <f>IF(Mask!P21=1,0,-(Psi!Q21-Psi!O21)/(2*p_h))</f>
        <v/>
      </c>
      <c r="Q21" s="16">
        <f>IF(Mask!Q21=1,0,-(Psi!R21-Psi!P21)/(2*p_h))</f>
        <v/>
      </c>
      <c r="R21" s="16">
        <f>IF(Mask!R21=1,0,-(Psi!S21-Psi!Q21)/(2*p_h))</f>
        <v/>
      </c>
      <c r="S21" s="16">
        <f>IF(Mask!S21=1,0,-(Psi!T21-Psi!R21)/(2*p_h))</f>
        <v/>
      </c>
      <c r="T21" s="16">
        <f>IF(Mask!T21=1,0,-(Psi!U21-Psi!S21)/(2*p_h))</f>
        <v/>
      </c>
      <c r="U21" s="16">
        <f>IF(Mask!U21=1,0,-(Psi!V21-Psi!T21)/(2*p_h))</f>
        <v/>
      </c>
      <c r="V21" s="16">
        <f>IF(Mask!V21=1,0,-(Psi!W21-Psi!U21)/(2*p_h))</f>
        <v/>
      </c>
      <c r="W21" s="16">
        <f>IF(Mask!W21=1,0,-(Psi!X21-Psi!V21)/(2*p_h))</f>
        <v/>
      </c>
      <c r="X21" s="16">
        <f>IF(Mask!X21=1,0,-(Psi!Y21-Psi!W21)/(2*p_h))</f>
        <v/>
      </c>
      <c r="Y21" s="16">
        <f>IF(Mask!Y21=1,0,-(Psi!Z21-Psi!X21)/(2*p_h))</f>
        <v/>
      </c>
      <c r="Z21" s="16">
        <f>IF(Mask!Z21=1,0,-(Psi!AA21-Psi!Y21)/(2*p_h))</f>
        <v/>
      </c>
      <c r="AA21" s="16">
        <f>IF(Mask!AA21=1,0,-(Psi!AB21-Psi!Z21)/(2*p_h))</f>
        <v/>
      </c>
      <c r="AB21" s="16">
        <f>IF(Mask!AB21=1,0,-(Psi!AC21-Psi!AA21)/(2*p_h))</f>
        <v/>
      </c>
      <c r="AC21" s="16">
        <f>IF(Mask!AC21=1,0,-(Psi!AD21-Psi!AB21)/(2*p_h))</f>
        <v/>
      </c>
      <c r="AD21" s="16">
        <f>IF(Mask!AD21=1,0,-(Psi!AE21-Psi!AC21)/(2*p_h))</f>
        <v/>
      </c>
      <c r="AE21" s="16">
        <f>IF(Mask!AE21=1,0,-(Psi!AF21-Psi!AD21)/(2*p_h))</f>
        <v/>
      </c>
      <c r="AF21" s="16">
        <f>IF(Mask!AF21=1,0,-(Psi!AG21-Psi!AE21)/(2*p_h))</f>
        <v/>
      </c>
      <c r="AG21" s="16">
        <f>IF(Mask!AG21=1,0,-(Psi!AH21-Psi!AF21)/(2*p_h))</f>
        <v/>
      </c>
      <c r="AH21" s="16">
        <f>IF(Mask!AH21=1,0,-(Psi!AI21-Psi!AG21)/(2*p_h))</f>
        <v/>
      </c>
      <c r="AI21" s="16">
        <f>IF(Mask!AI21=1,0,-(Psi!AJ21-Psi!AH21)/(2*p_h))</f>
        <v/>
      </c>
      <c r="AJ21" s="16">
        <f>IF(Mask!AJ21=1,0,-(Psi!AK21-Psi!AI21)/(2*p_h))</f>
        <v/>
      </c>
      <c r="AK21" s="16">
        <f>IF(Mask!AK21=1,0,-(Psi!AL21-Psi!AJ21)/(2*p_h))</f>
        <v/>
      </c>
      <c r="AL21" s="16">
        <f>IF(Mask!AL21=1,0,-(Psi!AM21-Psi!AK21)/(2*p_h))</f>
        <v/>
      </c>
      <c r="AM21" s="16">
        <f>IF(Mask!AM21=1,0,-(Psi!AN21-Psi!AL21)/(2*p_h))</f>
        <v/>
      </c>
      <c r="AN21" s="16">
        <f>IF(Mask!AN21=1,0,-(Psi!AO21-Psi!AM21)/(2*p_h))</f>
        <v/>
      </c>
      <c r="AO21" s="16">
        <f>IF(Mask!AO21=1,0,-(Psi!AP21-Psi!AN21)/(2*p_h))</f>
        <v/>
      </c>
      <c r="AP21" s="16">
        <f>IF(Mask!AP21=1,0,-(Psi!AP21-Psi!AO21)/p_h)</f>
        <v/>
      </c>
    </row>
    <row r="22">
      <c r="A22" s="7">
        <f>A21-p_h</f>
        <v/>
      </c>
      <c r="B22" s="16">
        <f>IF(Mask!B22=1,0,-(Psi!C22-Psi!B22)/p_h)</f>
        <v/>
      </c>
      <c r="C22" s="16">
        <f>IF(Mask!C22=1,0,-(Psi!D22-Psi!B22)/(2*p_h))</f>
        <v/>
      </c>
      <c r="D22" s="16">
        <f>IF(Mask!D22=1,0,-(Psi!E22-Psi!C22)/(2*p_h))</f>
        <v/>
      </c>
      <c r="E22" s="16">
        <f>IF(Mask!E22=1,0,-(Psi!F22-Psi!D22)/(2*p_h))</f>
        <v/>
      </c>
      <c r="F22" s="16">
        <f>IF(Mask!F22=1,0,-(Psi!G22-Psi!E22)/(2*p_h))</f>
        <v/>
      </c>
      <c r="G22" s="16">
        <f>IF(Mask!G22=1,0,-(Psi!H22-Psi!F22)/(2*p_h))</f>
        <v/>
      </c>
      <c r="H22" s="16">
        <f>IF(Mask!H22=1,0,-(Psi!I22-Psi!G22)/(2*p_h))</f>
        <v/>
      </c>
      <c r="I22" s="16">
        <f>IF(Mask!I22=1,0,-(Psi!J22-Psi!H22)/(2*p_h))</f>
        <v/>
      </c>
      <c r="J22" s="16">
        <f>IF(Mask!J22=1,0,-(Psi!K22-Psi!I22)/(2*p_h))</f>
        <v/>
      </c>
      <c r="K22" s="16">
        <f>IF(Mask!K22=1,0,-(Psi!L22-Psi!J22)/(2*p_h))</f>
        <v/>
      </c>
      <c r="L22" s="16">
        <f>IF(Mask!L22=1,0,-(Psi!M22-Psi!K22)/(2*p_h))</f>
        <v/>
      </c>
      <c r="M22" s="16">
        <f>IF(Mask!M22=1,0,-(Psi!N22-Psi!L22)/(2*p_h))</f>
        <v/>
      </c>
      <c r="N22" s="16">
        <f>IF(Mask!N22=1,0,-(Psi!O22-Psi!M22)/(2*p_h))</f>
        <v/>
      </c>
      <c r="O22" s="16">
        <f>IF(Mask!O22=1,0,-(Psi!P22-Psi!N22)/(2*p_h))</f>
        <v/>
      </c>
      <c r="P22" s="16">
        <f>IF(Mask!P22=1,0,-(Psi!Q22-Psi!O22)/(2*p_h))</f>
        <v/>
      </c>
      <c r="Q22" s="16">
        <f>IF(Mask!Q22=1,0,-(Psi!R22-Psi!P22)/(2*p_h))</f>
        <v/>
      </c>
      <c r="R22" s="16">
        <f>IF(Mask!R22=1,0,-(Psi!S22-Psi!Q22)/(2*p_h))</f>
        <v/>
      </c>
      <c r="S22" s="16">
        <f>IF(Mask!S22=1,0,-(Psi!T22-Psi!R22)/(2*p_h))</f>
        <v/>
      </c>
      <c r="T22" s="16">
        <f>IF(Mask!T22=1,0,-(Psi!U22-Psi!S22)/(2*p_h))</f>
        <v/>
      </c>
      <c r="U22" s="16">
        <f>IF(Mask!U22=1,0,-(Psi!V22-Psi!T22)/(2*p_h))</f>
        <v/>
      </c>
      <c r="V22" s="16">
        <f>IF(Mask!V22=1,0,-(Psi!W22-Psi!U22)/(2*p_h))</f>
        <v/>
      </c>
      <c r="W22" s="16">
        <f>IF(Mask!W22=1,0,-(Psi!X22-Psi!V22)/(2*p_h))</f>
        <v/>
      </c>
      <c r="X22" s="16">
        <f>IF(Mask!X22=1,0,-(Psi!Y22-Psi!W22)/(2*p_h))</f>
        <v/>
      </c>
      <c r="Y22" s="16">
        <f>IF(Mask!Y22=1,0,-(Psi!Z22-Psi!X22)/(2*p_h))</f>
        <v/>
      </c>
      <c r="Z22" s="16">
        <f>IF(Mask!Z22=1,0,-(Psi!AA22-Psi!Y22)/(2*p_h))</f>
        <v/>
      </c>
      <c r="AA22" s="16">
        <f>IF(Mask!AA22=1,0,-(Psi!AB22-Psi!Z22)/(2*p_h))</f>
        <v/>
      </c>
      <c r="AB22" s="16">
        <f>IF(Mask!AB22=1,0,-(Psi!AC22-Psi!AA22)/(2*p_h))</f>
        <v/>
      </c>
      <c r="AC22" s="16">
        <f>IF(Mask!AC22=1,0,-(Psi!AD22-Psi!AB22)/(2*p_h))</f>
        <v/>
      </c>
      <c r="AD22" s="16">
        <f>IF(Mask!AD22=1,0,-(Psi!AE22-Psi!AC22)/(2*p_h))</f>
        <v/>
      </c>
      <c r="AE22" s="16">
        <f>IF(Mask!AE22=1,0,-(Psi!AF22-Psi!AD22)/(2*p_h))</f>
        <v/>
      </c>
      <c r="AF22" s="16">
        <f>IF(Mask!AF22=1,0,-(Psi!AG22-Psi!AE22)/(2*p_h))</f>
        <v/>
      </c>
      <c r="AG22" s="16">
        <f>IF(Mask!AG22=1,0,-(Psi!AH22-Psi!AF22)/(2*p_h))</f>
        <v/>
      </c>
      <c r="AH22" s="16">
        <f>IF(Mask!AH22=1,0,-(Psi!AI22-Psi!AG22)/(2*p_h))</f>
        <v/>
      </c>
      <c r="AI22" s="16">
        <f>IF(Mask!AI22=1,0,-(Psi!AJ22-Psi!AH22)/(2*p_h))</f>
        <v/>
      </c>
      <c r="AJ22" s="16">
        <f>IF(Mask!AJ22=1,0,-(Psi!AK22-Psi!AI22)/(2*p_h))</f>
        <v/>
      </c>
      <c r="AK22" s="16">
        <f>IF(Mask!AK22=1,0,-(Psi!AL22-Psi!AJ22)/(2*p_h))</f>
        <v/>
      </c>
      <c r="AL22" s="16">
        <f>IF(Mask!AL22=1,0,-(Psi!AM22-Psi!AK22)/(2*p_h))</f>
        <v/>
      </c>
      <c r="AM22" s="16">
        <f>IF(Mask!AM22=1,0,-(Psi!AN22-Psi!AL22)/(2*p_h))</f>
        <v/>
      </c>
      <c r="AN22" s="16">
        <f>IF(Mask!AN22=1,0,-(Psi!AO22-Psi!AM22)/(2*p_h))</f>
        <v/>
      </c>
      <c r="AO22" s="16">
        <f>IF(Mask!AO22=1,0,-(Psi!AP22-Psi!AN22)/(2*p_h))</f>
        <v/>
      </c>
      <c r="AP22" s="16">
        <f>IF(Mask!AP22=1,0,-(Psi!AP22-Psi!AO22)/p_h)</f>
        <v/>
      </c>
    </row>
    <row r="23">
      <c r="A23" s="7">
        <f>A22-p_h</f>
        <v/>
      </c>
      <c r="B23" s="16">
        <f>IF(Mask!B23=1,0,-(Psi!C23-Psi!B23)/p_h)</f>
        <v/>
      </c>
      <c r="C23" s="16">
        <f>IF(Mask!C23=1,0,-(Psi!D23-Psi!B23)/(2*p_h))</f>
        <v/>
      </c>
      <c r="D23" s="16">
        <f>IF(Mask!D23=1,0,-(Psi!E23-Psi!C23)/(2*p_h))</f>
        <v/>
      </c>
      <c r="E23" s="16">
        <f>IF(Mask!E23=1,0,-(Psi!F23-Psi!D23)/(2*p_h))</f>
        <v/>
      </c>
      <c r="F23" s="16">
        <f>IF(Mask!F23=1,0,-(Psi!G23-Psi!E23)/(2*p_h))</f>
        <v/>
      </c>
      <c r="G23" s="16">
        <f>IF(Mask!G23=1,0,-(Psi!H23-Psi!F23)/(2*p_h))</f>
        <v/>
      </c>
      <c r="H23" s="16">
        <f>IF(Mask!H23=1,0,-(Psi!I23-Psi!G23)/(2*p_h))</f>
        <v/>
      </c>
      <c r="I23" s="16">
        <f>IF(Mask!I23=1,0,-(Psi!J23-Psi!H23)/(2*p_h))</f>
        <v/>
      </c>
      <c r="J23" s="16">
        <f>IF(Mask!J23=1,0,-(Psi!K23-Psi!I23)/(2*p_h))</f>
        <v/>
      </c>
      <c r="K23" s="16">
        <f>IF(Mask!K23=1,0,-(Psi!L23-Psi!J23)/(2*p_h))</f>
        <v/>
      </c>
      <c r="L23" s="16">
        <f>IF(Mask!L23=1,0,-(Psi!M23-Psi!K23)/(2*p_h))</f>
        <v/>
      </c>
      <c r="M23" s="16">
        <f>IF(Mask!M23=1,0,-(Psi!N23-Psi!L23)/(2*p_h))</f>
        <v/>
      </c>
      <c r="N23" s="16">
        <f>IF(Mask!N23=1,0,-(Psi!O23-Psi!M23)/(2*p_h))</f>
        <v/>
      </c>
      <c r="O23" s="16">
        <f>IF(Mask!O23=1,0,-(Psi!P23-Psi!N23)/(2*p_h))</f>
        <v/>
      </c>
      <c r="P23" s="16">
        <f>IF(Mask!P23=1,0,-(Psi!Q23-Psi!O23)/(2*p_h))</f>
        <v/>
      </c>
      <c r="Q23" s="16">
        <f>IF(Mask!Q23=1,0,-(Psi!R23-Psi!P23)/(2*p_h))</f>
        <v/>
      </c>
      <c r="R23" s="16">
        <f>IF(Mask!R23=1,0,-(Psi!S23-Psi!Q23)/(2*p_h))</f>
        <v/>
      </c>
      <c r="S23" s="16">
        <f>IF(Mask!S23=1,0,-(Psi!T23-Psi!R23)/(2*p_h))</f>
        <v/>
      </c>
      <c r="T23" s="16">
        <f>IF(Mask!T23=1,0,-(Psi!U23-Psi!S23)/(2*p_h))</f>
        <v/>
      </c>
      <c r="U23" s="16">
        <f>IF(Mask!U23=1,0,-(Psi!V23-Psi!T23)/(2*p_h))</f>
        <v/>
      </c>
      <c r="V23" s="16">
        <f>IF(Mask!V23=1,0,-(Psi!W23-Psi!U23)/(2*p_h))</f>
        <v/>
      </c>
      <c r="W23" s="16">
        <f>IF(Mask!W23=1,0,-(Psi!X23-Psi!V23)/(2*p_h))</f>
        <v/>
      </c>
      <c r="X23" s="16">
        <f>IF(Mask!X23=1,0,-(Psi!Y23-Psi!W23)/(2*p_h))</f>
        <v/>
      </c>
      <c r="Y23" s="16">
        <f>IF(Mask!Y23=1,0,-(Psi!Z23-Psi!X23)/(2*p_h))</f>
        <v/>
      </c>
      <c r="Z23" s="16">
        <f>IF(Mask!Z23=1,0,-(Psi!AA23-Psi!Y23)/(2*p_h))</f>
        <v/>
      </c>
      <c r="AA23" s="16">
        <f>IF(Mask!AA23=1,0,-(Psi!AB23-Psi!Z23)/(2*p_h))</f>
        <v/>
      </c>
      <c r="AB23" s="16">
        <f>IF(Mask!AB23=1,0,-(Psi!AC23-Psi!AA23)/(2*p_h))</f>
        <v/>
      </c>
      <c r="AC23" s="16">
        <f>IF(Mask!AC23=1,0,-(Psi!AD23-Psi!AB23)/(2*p_h))</f>
        <v/>
      </c>
      <c r="AD23" s="16">
        <f>IF(Mask!AD23=1,0,-(Psi!AE23-Psi!AC23)/(2*p_h))</f>
        <v/>
      </c>
      <c r="AE23" s="16">
        <f>IF(Mask!AE23=1,0,-(Psi!AF23-Psi!AD23)/(2*p_h))</f>
        <v/>
      </c>
      <c r="AF23" s="16">
        <f>IF(Mask!AF23=1,0,-(Psi!AG23-Psi!AE23)/(2*p_h))</f>
        <v/>
      </c>
      <c r="AG23" s="16">
        <f>IF(Mask!AG23=1,0,-(Psi!AH23-Psi!AF23)/(2*p_h))</f>
        <v/>
      </c>
      <c r="AH23" s="16">
        <f>IF(Mask!AH23=1,0,-(Psi!AI23-Psi!AG23)/(2*p_h))</f>
        <v/>
      </c>
      <c r="AI23" s="16">
        <f>IF(Mask!AI23=1,0,-(Psi!AJ23-Psi!AH23)/(2*p_h))</f>
        <v/>
      </c>
      <c r="AJ23" s="16">
        <f>IF(Mask!AJ23=1,0,-(Psi!AK23-Psi!AI23)/(2*p_h))</f>
        <v/>
      </c>
      <c r="AK23" s="16">
        <f>IF(Mask!AK23=1,0,-(Psi!AL23-Psi!AJ23)/(2*p_h))</f>
        <v/>
      </c>
      <c r="AL23" s="16">
        <f>IF(Mask!AL23=1,0,-(Psi!AM23-Psi!AK23)/(2*p_h))</f>
        <v/>
      </c>
      <c r="AM23" s="16">
        <f>IF(Mask!AM23=1,0,-(Psi!AN23-Psi!AL23)/(2*p_h))</f>
        <v/>
      </c>
      <c r="AN23" s="16">
        <f>IF(Mask!AN23=1,0,-(Psi!AO23-Psi!AM23)/(2*p_h))</f>
        <v/>
      </c>
      <c r="AO23" s="16">
        <f>IF(Mask!AO23=1,0,-(Psi!AP23-Psi!AN23)/(2*p_h))</f>
        <v/>
      </c>
      <c r="AP23" s="16">
        <f>IF(Mask!AP23=1,0,-(Psi!AP23-Psi!AO23)/p_h)</f>
        <v/>
      </c>
    </row>
  </sheetData>
  <conditionalFormatting sqref="B3:AP23">
    <cfRule type="colorScale" priority="1">
      <colorScale>
        <cfvo type="min"/>
        <cfvo type="num" val="0"/>
        <cfvo type="max"/>
        <color rgb="002C7BB6"/>
        <color rgb="00FFFFFF"/>
        <color rgb="00D7191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2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</cols>
  <sheetData>
    <row r="1">
      <c r="A1" s="4" t="inlineStr">
        <is>
          <t>Speed |V| [m/s]   (dark = solid)</t>
        </is>
      </c>
    </row>
    <row r="2">
      <c r="A2" s="5" t="inlineStr">
        <is>
          <t>y \ x</t>
        </is>
      </c>
      <c r="B2" s="6" t="n">
        <v>0</v>
      </c>
      <c r="C2" s="6">
        <f>B2+p_h</f>
        <v/>
      </c>
      <c r="D2" s="6">
        <f>C2+p_h</f>
        <v/>
      </c>
      <c r="E2" s="6">
        <f>D2+p_h</f>
        <v/>
      </c>
      <c r="F2" s="6">
        <f>E2+p_h</f>
        <v/>
      </c>
      <c r="G2" s="6">
        <f>F2+p_h</f>
        <v/>
      </c>
      <c r="H2" s="6">
        <f>G2+p_h</f>
        <v/>
      </c>
      <c r="I2" s="6">
        <f>H2+p_h</f>
        <v/>
      </c>
      <c r="J2" s="6">
        <f>I2+p_h</f>
        <v/>
      </c>
      <c r="K2" s="6">
        <f>J2+p_h</f>
        <v/>
      </c>
      <c r="L2" s="6">
        <f>K2+p_h</f>
        <v/>
      </c>
      <c r="M2" s="6">
        <f>L2+p_h</f>
        <v/>
      </c>
      <c r="N2" s="6">
        <f>M2+p_h</f>
        <v/>
      </c>
      <c r="O2" s="6">
        <f>N2+p_h</f>
        <v/>
      </c>
      <c r="P2" s="6">
        <f>O2+p_h</f>
        <v/>
      </c>
      <c r="Q2" s="6">
        <f>P2+p_h</f>
        <v/>
      </c>
      <c r="R2" s="6">
        <f>Q2+p_h</f>
        <v/>
      </c>
      <c r="S2" s="6">
        <f>R2+p_h</f>
        <v/>
      </c>
      <c r="T2" s="6">
        <f>S2+p_h</f>
        <v/>
      </c>
      <c r="U2" s="6">
        <f>T2+p_h</f>
        <v/>
      </c>
      <c r="V2" s="6">
        <f>U2+p_h</f>
        <v/>
      </c>
      <c r="W2" s="6">
        <f>V2+p_h</f>
        <v/>
      </c>
      <c r="X2" s="6">
        <f>W2+p_h</f>
        <v/>
      </c>
      <c r="Y2" s="6">
        <f>X2+p_h</f>
        <v/>
      </c>
      <c r="Z2" s="6">
        <f>Y2+p_h</f>
        <v/>
      </c>
      <c r="AA2" s="6">
        <f>Z2+p_h</f>
        <v/>
      </c>
      <c r="AB2" s="6">
        <f>AA2+p_h</f>
        <v/>
      </c>
      <c r="AC2" s="6">
        <f>AB2+p_h</f>
        <v/>
      </c>
      <c r="AD2" s="6">
        <f>AC2+p_h</f>
        <v/>
      </c>
      <c r="AE2" s="6">
        <f>AD2+p_h</f>
        <v/>
      </c>
      <c r="AF2" s="6">
        <f>AE2+p_h</f>
        <v/>
      </c>
      <c r="AG2" s="6">
        <f>AF2+p_h</f>
        <v/>
      </c>
      <c r="AH2" s="6">
        <f>AG2+p_h</f>
        <v/>
      </c>
      <c r="AI2" s="6">
        <f>AH2+p_h</f>
        <v/>
      </c>
      <c r="AJ2" s="6">
        <f>AI2+p_h</f>
        <v/>
      </c>
      <c r="AK2" s="6">
        <f>AJ2+p_h</f>
        <v/>
      </c>
      <c r="AL2" s="6">
        <f>AK2+p_h</f>
        <v/>
      </c>
      <c r="AM2" s="6">
        <f>AL2+p_h</f>
        <v/>
      </c>
      <c r="AN2" s="6">
        <f>AM2+p_h</f>
        <v/>
      </c>
      <c r="AO2" s="6">
        <f>AN2+p_h</f>
        <v/>
      </c>
      <c r="AP2" s="6">
        <f>AO2+p_h</f>
        <v/>
      </c>
    </row>
    <row r="3">
      <c r="A3" s="7">
        <f>20*p_h</f>
        <v/>
      </c>
      <c r="B3" s="16">
        <f>IF(Mask!B3=1,"",SQRT(u_vel!B3^2+v_vel!B3^2))</f>
        <v/>
      </c>
      <c r="C3" s="16">
        <f>IF(Mask!C3=1,"",SQRT(u_vel!C3^2+v_vel!C3^2))</f>
        <v/>
      </c>
      <c r="D3" s="16">
        <f>IF(Mask!D3=1,"",SQRT(u_vel!D3^2+v_vel!D3^2))</f>
        <v/>
      </c>
      <c r="E3" s="16">
        <f>IF(Mask!E3=1,"",SQRT(u_vel!E3^2+v_vel!E3^2))</f>
        <v/>
      </c>
      <c r="F3" s="16">
        <f>IF(Mask!F3=1,"",SQRT(u_vel!F3^2+v_vel!F3^2))</f>
        <v/>
      </c>
      <c r="G3" s="16">
        <f>IF(Mask!G3=1,"",SQRT(u_vel!G3^2+v_vel!G3^2))</f>
        <v/>
      </c>
      <c r="H3" s="16">
        <f>IF(Mask!H3=1,"",SQRT(u_vel!H3^2+v_vel!H3^2))</f>
        <v/>
      </c>
      <c r="I3" s="16">
        <f>IF(Mask!I3=1,"",SQRT(u_vel!I3^2+v_vel!I3^2))</f>
        <v/>
      </c>
      <c r="J3" s="16">
        <f>IF(Mask!J3=1,"",SQRT(u_vel!J3^2+v_vel!J3^2))</f>
        <v/>
      </c>
      <c r="K3" s="16">
        <f>IF(Mask!K3=1,"",SQRT(u_vel!K3^2+v_vel!K3^2))</f>
        <v/>
      </c>
      <c r="L3" s="16">
        <f>IF(Mask!L3=1,"",SQRT(u_vel!L3^2+v_vel!L3^2))</f>
        <v/>
      </c>
      <c r="M3" s="16">
        <f>IF(Mask!M3=1,"",SQRT(u_vel!M3^2+v_vel!M3^2))</f>
        <v/>
      </c>
      <c r="N3" s="16">
        <f>IF(Mask!N3=1,"",SQRT(u_vel!N3^2+v_vel!N3^2))</f>
        <v/>
      </c>
      <c r="O3" s="16">
        <f>IF(Mask!O3=1,"",SQRT(u_vel!O3^2+v_vel!O3^2))</f>
        <v/>
      </c>
      <c r="P3" s="16">
        <f>IF(Mask!P3=1,"",SQRT(u_vel!P3^2+v_vel!P3^2))</f>
        <v/>
      </c>
      <c r="Q3" s="16">
        <f>IF(Mask!Q3=1,"",SQRT(u_vel!Q3^2+v_vel!Q3^2))</f>
        <v/>
      </c>
      <c r="R3" s="16">
        <f>IF(Mask!R3=1,"",SQRT(u_vel!R3^2+v_vel!R3^2))</f>
        <v/>
      </c>
      <c r="S3" s="16">
        <f>IF(Mask!S3=1,"",SQRT(u_vel!S3^2+v_vel!S3^2))</f>
        <v/>
      </c>
      <c r="T3" s="16">
        <f>IF(Mask!T3=1,"",SQRT(u_vel!T3^2+v_vel!T3^2))</f>
        <v/>
      </c>
      <c r="U3" s="16">
        <f>IF(Mask!U3=1,"",SQRT(u_vel!U3^2+v_vel!U3^2))</f>
        <v/>
      </c>
      <c r="V3" s="16">
        <f>IF(Mask!V3=1,"",SQRT(u_vel!V3^2+v_vel!V3^2))</f>
        <v/>
      </c>
      <c r="W3" s="16">
        <f>IF(Mask!W3=1,"",SQRT(u_vel!W3^2+v_vel!W3^2))</f>
        <v/>
      </c>
      <c r="X3" s="16">
        <f>IF(Mask!X3=1,"",SQRT(u_vel!X3^2+v_vel!X3^2))</f>
        <v/>
      </c>
      <c r="Y3" s="16">
        <f>IF(Mask!Y3=1,"",SQRT(u_vel!Y3^2+v_vel!Y3^2))</f>
        <v/>
      </c>
      <c r="Z3" s="16">
        <f>IF(Mask!Z3=1,"",SQRT(u_vel!Z3^2+v_vel!Z3^2))</f>
        <v/>
      </c>
      <c r="AA3" s="16">
        <f>IF(Mask!AA3=1,"",SQRT(u_vel!AA3^2+v_vel!AA3^2))</f>
        <v/>
      </c>
      <c r="AB3" s="16">
        <f>IF(Mask!AB3=1,"",SQRT(u_vel!AB3^2+v_vel!AB3^2))</f>
        <v/>
      </c>
      <c r="AC3" s="16">
        <f>IF(Mask!AC3=1,"",SQRT(u_vel!AC3^2+v_vel!AC3^2))</f>
        <v/>
      </c>
      <c r="AD3" s="16">
        <f>IF(Mask!AD3=1,"",SQRT(u_vel!AD3^2+v_vel!AD3^2))</f>
        <v/>
      </c>
      <c r="AE3" s="16">
        <f>IF(Mask!AE3=1,"",SQRT(u_vel!AE3^2+v_vel!AE3^2))</f>
        <v/>
      </c>
      <c r="AF3" s="16">
        <f>IF(Mask!AF3=1,"",SQRT(u_vel!AF3^2+v_vel!AF3^2))</f>
        <v/>
      </c>
      <c r="AG3" s="16">
        <f>IF(Mask!AG3=1,"",SQRT(u_vel!AG3^2+v_vel!AG3^2))</f>
        <v/>
      </c>
      <c r="AH3" s="16">
        <f>IF(Mask!AH3=1,"",SQRT(u_vel!AH3^2+v_vel!AH3^2))</f>
        <v/>
      </c>
      <c r="AI3" s="16">
        <f>IF(Mask!AI3=1,"",SQRT(u_vel!AI3^2+v_vel!AI3^2))</f>
        <v/>
      </c>
      <c r="AJ3" s="16">
        <f>IF(Mask!AJ3=1,"",SQRT(u_vel!AJ3^2+v_vel!AJ3^2))</f>
        <v/>
      </c>
      <c r="AK3" s="16">
        <f>IF(Mask!AK3=1,"",SQRT(u_vel!AK3^2+v_vel!AK3^2))</f>
        <v/>
      </c>
      <c r="AL3" s="16">
        <f>IF(Mask!AL3=1,"",SQRT(u_vel!AL3^2+v_vel!AL3^2))</f>
        <v/>
      </c>
      <c r="AM3" s="16">
        <f>IF(Mask!AM3=1,"",SQRT(u_vel!AM3^2+v_vel!AM3^2))</f>
        <v/>
      </c>
      <c r="AN3" s="16">
        <f>IF(Mask!AN3=1,"",SQRT(u_vel!AN3^2+v_vel!AN3^2))</f>
        <v/>
      </c>
      <c r="AO3" s="16">
        <f>IF(Mask!AO3=1,"",SQRT(u_vel!AO3^2+v_vel!AO3^2))</f>
        <v/>
      </c>
      <c r="AP3" s="16">
        <f>IF(Mask!AP3=1,"",SQRT(u_vel!AP3^2+v_vel!AP3^2))</f>
        <v/>
      </c>
    </row>
    <row r="4">
      <c r="A4" s="7">
        <f>A3-p_h</f>
        <v/>
      </c>
      <c r="B4" s="16">
        <f>IF(Mask!B4=1,"",SQRT(u_vel!B4^2+v_vel!B4^2))</f>
        <v/>
      </c>
      <c r="C4" s="16">
        <f>IF(Mask!C4=1,"",SQRT(u_vel!C4^2+v_vel!C4^2))</f>
        <v/>
      </c>
      <c r="D4" s="16">
        <f>IF(Mask!D4=1,"",SQRT(u_vel!D4^2+v_vel!D4^2))</f>
        <v/>
      </c>
      <c r="E4" s="16">
        <f>IF(Mask!E4=1,"",SQRT(u_vel!E4^2+v_vel!E4^2))</f>
        <v/>
      </c>
      <c r="F4" s="16">
        <f>IF(Mask!F4=1,"",SQRT(u_vel!F4^2+v_vel!F4^2))</f>
        <v/>
      </c>
      <c r="G4" s="16">
        <f>IF(Mask!G4=1,"",SQRT(u_vel!G4^2+v_vel!G4^2))</f>
        <v/>
      </c>
      <c r="H4" s="16">
        <f>IF(Mask!H4=1,"",SQRT(u_vel!H4^2+v_vel!H4^2))</f>
        <v/>
      </c>
      <c r="I4" s="16">
        <f>IF(Mask!I4=1,"",SQRT(u_vel!I4^2+v_vel!I4^2))</f>
        <v/>
      </c>
      <c r="J4" s="16">
        <f>IF(Mask!J4=1,"",SQRT(u_vel!J4^2+v_vel!J4^2))</f>
        <v/>
      </c>
      <c r="K4" s="16">
        <f>IF(Mask!K4=1,"",SQRT(u_vel!K4^2+v_vel!K4^2))</f>
        <v/>
      </c>
      <c r="L4" s="16">
        <f>IF(Mask!L4=1,"",SQRT(u_vel!L4^2+v_vel!L4^2))</f>
        <v/>
      </c>
      <c r="M4" s="16">
        <f>IF(Mask!M4=1,"",SQRT(u_vel!M4^2+v_vel!M4^2))</f>
        <v/>
      </c>
      <c r="N4" s="16">
        <f>IF(Mask!N4=1,"",SQRT(u_vel!N4^2+v_vel!N4^2))</f>
        <v/>
      </c>
      <c r="O4" s="16">
        <f>IF(Mask!O4=1,"",SQRT(u_vel!O4^2+v_vel!O4^2))</f>
        <v/>
      </c>
      <c r="P4" s="16">
        <f>IF(Mask!P4=1,"",SQRT(u_vel!P4^2+v_vel!P4^2))</f>
        <v/>
      </c>
      <c r="Q4" s="16">
        <f>IF(Mask!Q4=1,"",SQRT(u_vel!Q4^2+v_vel!Q4^2))</f>
        <v/>
      </c>
      <c r="R4" s="16">
        <f>IF(Mask!R4=1,"",SQRT(u_vel!R4^2+v_vel!R4^2))</f>
        <v/>
      </c>
      <c r="S4" s="16">
        <f>IF(Mask!S4=1,"",SQRT(u_vel!S4^2+v_vel!S4^2))</f>
        <v/>
      </c>
      <c r="T4" s="16">
        <f>IF(Mask!T4=1,"",SQRT(u_vel!T4^2+v_vel!T4^2))</f>
        <v/>
      </c>
      <c r="U4" s="16">
        <f>IF(Mask!U4=1,"",SQRT(u_vel!U4^2+v_vel!U4^2))</f>
        <v/>
      </c>
      <c r="V4" s="16">
        <f>IF(Mask!V4=1,"",SQRT(u_vel!V4^2+v_vel!V4^2))</f>
        <v/>
      </c>
      <c r="W4" s="16">
        <f>IF(Mask!W4=1,"",SQRT(u_vel!W4^2+v_vel!W4^2))</f>
        <v/>
      </c>
      <c r="X4" s="16">
        <f>IF(Mask!X4=1,"",SQRT(u_vel!X4^2+v_vel!X4^2))</f>
        <v/>
      </c>
      <c r="Y4" s="16">
        <f>IF(Mask!Y4=1,"",SQRT(u_vel!Y4^2+v_vel!Y4^2))</f>
        <v/>
      </c>
      <c r="Z4" s="16">
        <f>IF(Mask!Z4=1,"",SQRT(u_vel!Z4^2+v_vel!Z4^2))</f>
        <v/>
      </c>
      <c r="AA4" s="16">
        <f>IF(Mask!AA4=1,"",SQRT(u_vel!AA4^2+v_vel!AA4^2))</f>
        <v/>
      </c>
      <c r="AB4" s="16">
        <f>IF(Mask!AB4=1,"",SQRT(u_vel!AB4^2+v_vel!AB4^2))</f>
        <v/>
      </c>
      <c r="AC4" s="16">
        <f>IF(Mask!AC4=1,"",SQRT(u_vel!AC4^2+v_vel!AC4^2))</f>
        <v/>
      </c>
      <c r="AD4" s="16">
        <f>IF(Mask!AD4=1,"",SQRT(u_vel!AD4^2+v_vel!AD4^2))</f>
        <v/>
      </c>
      <c r="AE4" s="16">
        <f>IF(Mask!AE4=1,"",SQRT(u_vel!AE4^2+v_vel!AE4^2))</f>
        <v/>
      </c>
      <c r="AF4" s="16">
        <f>IF(Mask!AF4=1,"",SQRT(u_vel!AF4^2+v_vel!AF4^2))</f>
        <v/>
      </c>
      <c r="AG4" s="16">
        <f>IF(Mask!AG4=1,"",SQRT(u_vel!AG4^2+v_vel!AG4^2))</f>
        <v/>
      </c>
      <c r="AH4" s="16">
        <f>IF(Mask!AH4=1,"",SQRT(u_vel!AH4^2+v_vel!AH4^2))</f>
        <v/>
      </c>
      <c r="AI4" s="16">
        <f>IF(Mask!AI4=1,"",SQRT(u_vel!AI4^2+v_vel!AI4^2))</f>
        <v/>
      </c>
      <c r="AJ4" s="16">
        <f>IF(Mask!AJ4=1,"",SQRT(u_vel!AJ4^2+v_vel!AJ4^2))</f>
        <v/>
      </c>
      <c r="AK4" s="16">
        <f>IF(Mask!AK4=1,"",SQRT(u_vel!AK4^2+v_vel!AK4^2))</f>
        <v/>
      </c>
      <c r="AL4" s="16">
        <f>IF(Mask!AL4=1,"",SQRT(u_vel!AL4^2+v_vel!AL4^2))</f>
        <v/>
      </c>
      <c r="AM4" s="16">
        <f>IF(Mask!AM4=1,"",SQRT(u_vel!AM4^2+v_vel!AM4^2))</f>
        <v/>
      </c>
      <c r="AN4" s="16">
        <f>IF(Mask!AN4=1,"",SQRT(u_vel!AN4^2+v_vel!AN4^2))</f>
        <v/>
      </c>
      <c r="AO4" s="16">
        <f>IF(Mask!AO4=1,"",SQRT(u_vel!AO4^2+v_vel!AO4^2))</f>
        <v/>
      </c>
      <c r="AP4" s="16">
        <f>IF(Mask!AP4=1,"",SQRT(u_vel!AP4^2+v_vel!AP4^2))</f>
        <v/>
      </c>
    </row>
    <row r="5">
      <c r="A5" s="7">
        <f>A4-p_h</f>
        <v/>
      </c>
      <c r="B5" s="16">
        <f>IF(Mask!B5=1,"",SQRT(u_vel!B5^2+v_vel!B5^2))</f>
        <v/>
      </c>
      <c r="C5" s="16">
        <f>IF(Mask!C5=1,"",SQRT(u_vel!C5^2+v_vel!C5^2))</f>
        <v/>
      </c>
      <c r="D5" s="16">
        <f>IF(Mask!D5=1,"",SQRT(u_vel!D5^2+v_vel!D5^2))</f>
        <v/>
      </c>
      <c r="E5" s="16">
        <f>IF(Mask!E5=1,"",SQRT(u_vel!E5^2+v_vel!E5^2))</f>
        <v/>
      </c>
      <c r="F5" s="16">
        <f>IF(Mask!F5=1,"",SQRT(u_vel!F5^2+v_vel!F5^2))</f>
        <v/>
      </c>
      <c r="G5" s="16">
        <f>IF(Mask!G5=1,"",SQRT(u_vel!G5^2+v_vel!G5^2))</f>
        <v/>
      </c>
      <c r="H5" s="16">
        <f>IF(Mask!H5=1,"",SQRT(u_vel!H5^2+v_vel!H5^2))</f>
        <v/>
      </c>
      <c r="I5" s="16">
        <f>IF(Mask!I5=1,"",SQRT(u_vel!I5^2+v_vel!I5^2))</f>
        <v/>
      </c>
      <c r="J5" s="16">
        <f>IF(Mask!J5=1,"",SQRT(u_vel!J5^2+v_vel!J5^2))</f>
        <v/>
      </c>
      <c r="K5" s="16">
        <f>IF(Mask!K5=1,"",SQRT(u_vel!K5^2+v_vel!K5^2))</f>
        <v/>
      </c>
      <c r="L5" s="16">
        <f>IF(Mask!L5=1,"",SQRT(u_vel!L5^2+v_vel!L5^2))</f>
        <v/>
      </c>
      <c r="M5" s="16">
        <f>IF(Mask!M5=1,"",SQRT(u_vel!M5^2+v_vel!M5^2))</f>
        <v/>
      </c>
      <c r="N5" s="16">
        <f>IF(Mask!N5=1,"",SQRT(u_vel!N5^2+v_vel!N5^2))</f>
        <v/>
      </c>
      <c r="O5" s="16">
        <f>IF(Mask!O5=1,"",SQRT(u_vel!O5^2+v_vel!O5^2))</f>
        <v/>
      </c>
      <c r="P5" s="16">
        <f>IF(Mask!P5=1,"",SQRT(u_vel!P5^2+v_vel!P5^2))</f>
        <v/>
      </c>
      <c r="Q5" s="16">
        <f>IF(Mask!Q5=1,"",SQRT(u_vel!Q5^2+v_vel!Q5^2))</f>
        <v/>
      </c>
      <c r="R5" s="16">
        <f>IF(Mask!R5=1,"",SQRT(u_vel!R5^2+v_vel!R5^2))</f>
        <v/>
      </c>
      <c r="S5" s="16">
        <f>IF(Mask!S5=1,"",SQRT(u_vel!S5^2+v_vel!S5^2))</f>
        <v/>
      </c>
      <c r="T5" s="16">
        <f>IF(Mask!T5=1,"",SQRT(u_vel!T5^2+v_vel!T5^2))</f>
        <v/>
      </c>
      <c r="U5" s="16">
        <f>IF(Mask!U5=1,"",SQRT(u_vel!U5^2+v_vel!U5^2))</f>
        <v/>
      </c>
      <c r="V5" s="16">
        <f>IF(Mask!V5=1,"",SQRT(u_vel!V5^2+v_vel!V5^2))</f>
        <v/>
      </c>
      <c r="W5" s="16">
        <f>IF(Mask!W5=1,"",SQRT(u_vel!W5^2+v_vel!W5^2))</f>
        <v/>
      </c>
      <c r="X5" s="16">
        <f>IF(Mask!X5=1,"",SQRT(u_vel!X5^2+v_vel!X5^2))</f>
        <v/>
      </c>
      <c r="Y5" s="16">
        <f>IF(Mask!Y5=1,"",SQRT(u_vel!Y5^2+v_vel!Y5^2))</f>
        <v/>
      </c>
      <c r="Z5" s="16">
        <f>IF(Mask!Z5=1,"",SQRT(u_vel!Z5^2+v_vel!Z5^2))</f>
        <v/>
      </c>
      <c r="AA5" s="16">
        <f>IF(Mask!AA5=1,"",SQRT(u_vel!AA5^2+v_vel!AA5^2))</f>
        <v/>
      </c>
      <c r="AB5" s="16">
        <f>IF(Mask!AB5=1,"",SQRT(u_vel!AB5^2+v_vel!AB5^2))</f>
        <v/>
      </c>
      <c r="AC5" s="16">
        <f>IF(Mask!AC5=1,"",SQRT(u_vel!AC5^2+v_vel!AC5^2))</f>
        <v/>
      </c>
      <c r="AD5" s="16">
        <f>IF(Mask!AD5=1,"",SQRT(u_vel!AD5^2+v_vel!AD5^2))</f>
        <v/>
      </c>
      <c r="AE5" s="16">
        <f>IF(Mask!AE5=1,"",SQRT(u_vel!AE5^2+v_vel!AE5^2))</f>
        <v/>
      </c>
      <c r="AF5" s="16">
        <f>IF(Mask!AF5=1,"",SQRT(u_vel!AF5^2+v_vel!AF5^2))</f>
        <v/>
      </c>
      <c r="AG5" s="16">
        <f>IF(Mask!AG5=1,"",SQRT(u_vel!AG5^2+v_vel!AG5^2))</f>
        <v/>
      </c>
      <c r="AH5" s="16">
        <f>IF(Mask!AH5=1,"",SQRT(u_vel!AH5^2+v_vel!AH5^2))</f>
        <v/>
      </c>
      <c r="AI5" s="16">
        <f>IF(Mask!AI5=1,"",SQRT(u_vel!AI5^2+v_vel!AI5^2))</f>
        <v/>
      </c>
      <c r="AJ5" s="16">
        <f>IF(Mask!AJ5=1,"",SQRT(u_vel!AJ5^2+v_vel!AJ5^2))</f>
        <v/>
      </c>
      <c r="AK5" s="16">
        <f>IF(Mask!AK5=1,"",SQRT(u_vel!AK5^2+v_vel!AK5^2))</f>
        <v/>
      </c>
      <c r="AL5" s="16">
        <f>IF(Mask!AL5=1,"",SQRT(u_vel!AL5^2+v_vel!AL5^2))</f>
        <v/>
      </c>
      <c r="AM5" s="16">
        <f>IF(Mask!AM5=1,"",SQRT(u_vel!AM5^2+v_vel!AM5^2))</f>
        <v/>
      </c>
      <c r="AN5" s="16">
        <f>IF(Mask!AN5=1,"",SQRT(u_vel!AN5^2+v_vel!AN5^2))</f>
        <v/>
      </c>
      <c r="AO5" s="16">
        <f>IF(Mask!AO5=1,"",SQRT(u_vel!AO5^2+v_vel!AO5^2))</f>
        <v/>
      </c>
      <c r="AP5" s="16">
        <f>IF(Mask!AP5=1,"",SQRT(u_vel!AP5^2+v_vel!AP5^2))</f>
        <v/>
      </c>
    </row>
    <row r="6">
      <c r="A6" s="7">
        <f>A5-p_h</f>
        <v/>
      </c>
      <c r="B6" s="16">
        <f>IF(Mask!B6=1,"",SQRT(u_vel!B6^2+v_vel!B6^2))</f>
        <v/>
      </c>
      <c r="C6" s="16">
        <f>IF(Mask!C6=1,"",SQRT(u_vel!C6^2+v_vel!C6^2))</f>
        <v/>
      </c>
      <c r="D6" s="16">
        <f>IF(Mask!D6=1,"",SQRT(u_vel!D6^2+v_vel!D6^2))</f>
        <v/>
      </c>
      <c r="E6" s="16">
        <f>IF(Mask!E6=1,"",SQRT(u_vel!E6^2+v_vel!E6^2))</f>
        <v/>
      </c>
      <c r="F6" s="16">
        <f>IF(Mask!F6=1,"",SQRT(u_vel!F6^2+v_vel!F6^2))</f>
        <v/>
      </c>
      <c r="G6" s="16">
        <f>IF(Mask!G6=1,"",SQRT(u_vel!G6^2+v_vel!G6^2))</f>
        <v/>
      </c>
      <c r="H6" s="16">
        <f>IF(Mask!H6=1,"",SQRT(u_vel!H6^2+v_vel!H6^2))</f>
        <v/>
      </c>
      <c r="I6" s="16">
        <f>IF(Mask!I6=1,"",SQRT(u_vel!I6^2+v_vel!I6^2))</f>
        <v/>
      </c>
      <c r="J6" s="16">
        <f>IF(Mask!J6=1,"",SQRT(u_vel!J6^2+v_vel!J6^2))</f>
        <v/>
      </c>
      <c r="K6" s="16">
        <f>IF(Mask!K6=1,"",SQRT(u_vel!K6^2+v_vel!K6^2))</f>
        <v/>
      </c>
      <c r="L6" s="16">
        <f>IF(Mask!L6=1,"",SQRT(u_vel!L6^2+v_vel!L6^2))</f>
        <v/>
      </c>
      <c r="M6" s="16">
        <f>IF(Mask!M6=1,"",SQRT(u_vel!M6^2+v_vel!M6^2))</f>
        <v/>
      </c>
      <c r="N6" s="16">
        <f>IF(Mask!N6=1,"",SQRT(u_vel!N6^2+v_vel!N6^2))</f>
        <v/>
      </c>
      <c r="O6" s="16">
        <f>IF(Mask!O6=1,"",SQRT(u_vel!O6^2+v_vel!O6^2))</f>
        <v/>
      </c>
      <c r="P6" s="16">
        <f>IF(Mask!P6=1,"",SQRT(u_vel!P6^2+v_vel!P6^2))</f>
        <v/>
      </c>
      <c r="Q6" s="16">
        <f>IF(Mask!Q6=1,"",SQRT(u_vel!Q6^2+v_vel!Q6^2))</f>
        <v/>
      </c>
      <c r="R6" s="16">
        <f>IF(Mask!R6=1,"",SQRT(u_vel!R6^2+v_vel!R6^2))</f>
        <v/>
      </c>
      <c r="S6" s="16">
        <f>IF(Mask!S6=1,"",SQRT(u_vel!S6^2+v_vel!S6^2))</f>
        <v/>
      </c>
      <c r="T6" s="16">
        <f>IF(Mask!T6=1,"",SQRT(u_vel!T6^2+v_vel!T6^2))</f>
        <v/>
      </c>
      <c r="U6" s="16">
        <f>IF(Mask!U6=1,"",SQRT(u_vel!U6^2+v_vel!U6^2))</f>
        <v/>
      </c>
      <c r="V6" s="16">
        <f>IF(Mask!V6=1,"",SQRT(u_vel!V6^2+v_vel!V6^2))</f>
        <v/>
      </c>
      <c r="W6" s="16">
        <f>IF(Mask!W6=1,"",SQRT(u_vel!W6^2+v_vel!W6^2))</f>
        <v/>
      </c>
      <c r="X6" s="16">
        <f>IF(Mask!X6=1,"",SQRT(u_vel!X6^2+v_vel!X6^2))</f>
        <v/>
      </c>
      <c r="Y6" s="16">
        <f>IF(Mask!Y6=1,"",SQRT(u_vel!Y6^2+v_vel!Y6^2))</f>
        <v/>
      </c>
      <c r="Z6" s="16">
        <f>IF(Mask!Z6=1,"",SQRT(u_vel!Z6^2+v_vel!Z6^2))</f>
        <v/>
      </c>
      <c r="AA6" s="16">
        <f>IF(Mask!AA6=1,"",SQRT(u_vel!AA6^2+v_vel!AA6^2))</f>
        <v/>
      </c>
      <c r="AB6" s="16">
        <f>IF(Mask!AB6=1,"",SQRT(u_vel!AB6^2+v_vel!AB6^2))</f>
        <v/>
      </c>
      <c r="AC6" s="16">
        <f>IF(Mask!AC6=1,"",SQRT(u_vel!AC6^2+v_vel!AC6^2))</f>
        <v/>
      </c>
      <c r="AD6" s="16">
        <f>IF(Mask!AD6=1,"",SQRT(u_vel!AD6^2+v_vel!AD6^2))</f>
        <v/>
      </c>
      <c r="AE6" s="16">
        <f>IF(Mask!AE6=1,"",SQRT(u_vel!AE6^2+v_vel!AE6^2))</f>
        <v/>
      </c>
      <c r="AF6" s="16">
        <f>IF(Mask!AF6=1,"",SQRT(u_vel!AF6^2+v_vel!AF6^2))</f>
        <v/>
      </c>
      <c r="AG6" s="16">
        <f>IF(Mask!AG6=1,"",SQRT(u_vel!AG6^2+v_vel!AG6^2))</f>
        <v/>
      </c>
      <c r="AH6" s="16">
        <f>IF(Mask!AH6=1,"",SQRT(u_vel!AH6^2+v_vel!AH6^2))</f>
        <v/>
      </c>
      <c r="AI6" s="16">
        <f>IF(Mask!AI6=1,"",SQRT(u_vel!AI6^2+v_vel!AI6^2))</f>
        <v/>
      </c>
      <c r="AJ6" s="16">
        <f>IF(Mask!AJ6=1,"",SQRT(u_vel!AJ6^2+v_vel!AJ6^2))</f>
        <v/>
      </c>
      <c r="AK6" s="16">
        <f>IF(Mask!AK6=1,"",SQRT(u_vel!AK6^2+v_vel!AK6^2))</f>
        <v/>
      </c>
      <c r="AL6" s="16">
        <f>IF(Mask!AL6=1,"",SQRT(u_vel!AL6^2+v_vel!AL6^2))</f>
        <v/>
      </c>
      <c r="AM6" s="16">
        <f>IF(Mask!AM6=1,"",SQRT(u_vel!AM6^2+v_vel!AM6^2))</f>
        <v/>
      </c>
      <c r="AN6" s="16">
        <f>IF(Mask!AN6=1,"",SQRT(u_vel!AN6^2+v_vel!AN6^2))</f>
        <v/>
      </c>
      <c r="AO6" s="16">
        <f>IF(Mask!AO6=1,"",SQRT(u_vel!AO6^2+v_vel!AO6^2))</f>
        <v/>
      </c>
      <c r="AP6" s="16">
        <f>IF(Mask!AP6=1,"",SQRT(u_vel!AP6^2+v_vel!AP6^2))</f>
        <v/>
      </c>
    </row>
    <row r="7">
      <c r="A7" s="7">
        <f>A6-p_h</f>
        <v/>
      </c>
      <c r="B7" s="16">
        <f>IF(Mask!B7=1,"",SQRT(u_vel!B7^2+v_vel!B7^2))</f>
        <v/>
      </c>
      <c r="C7" s="16">
        <f>IF(Mask!C7=1,"",SQRT(u_vel!C7^2+v_vel!C7^2))</f>
        <v/>
      </c>
      <c r="D7" s="16">
        <f>IF(Mask!D7=1,"",SQRT(u_vel!D7^2+v_vel!D7^2))</f>
        <v/>
      </c>
      <c r="E7" s="16">
        <f>IF(Mask!E7=1,"",SQRT(u_vel!E7^2+v_vel!E7^2))</f>
        <v/>
      </c>
      <c r="F7" s="16">
        <f>IF(Mask!F7=1,"",SQRT(u_vel!F7^2+v_vel!F7^2))</f>
        <v/>
      </c>
      <c r="G7" s="16">
        <f>IF(Mask!G7=1,"",SQRT(u_vel!G7^2+v_vel!G7^2))</f>
        <v/>
      </c>
      <c r="H7" s="16">
        <f>IF(Mask!H7=1,"",SQRT(u_vel!H7^2+v_vel!H7^2))</f>
        <v/>
      </c>
      <c r="I7" s="16">
        <f>IF(Mask!I7=1,"",SQRT(u_vel!I7^2+v_vel!I7^2))</f>
        <v/>
      </c>
      <c r="J7" s="16">
        <f>IF(Mask!J7=1,"",SQRT(u_vel!J7^2+v_vel!J7^2))</f>
        <v/>
      </c>
      <c r="K7" s="16">
        <f>IF(Mask!K7=1,"",SQRT(u_vel!K7^2+v_vel!K7^2))</f>
        <v/>
      </c>
      <c r="L7" s="16">
        <f>IF(Mask!L7=1,"",SQRT(u_vel!L7^2+v_vel!L7^2))</f>
        <v/>
      </c>
      <c r="M7" s="16">
        <f>IF(Mask!M7=1,"",SQRT(u_vel!M7^2+v_vel!M7^2))</f>
        <v/>
      </c>
      <c r="N7" s="16">
        <f>IF(Mask!N7=1,"",SQRT(u_vel!N7^2+v_vel!N7^2))</f>
        <v/>
      </c>
      <c r="O7" s="16">
        <f>IF(Mask!O7=1,"",SQRT(u_vel!O7^2+v_vel!O7^2))</f>
        <v/>
      </c>
      <c r="P7" s="16">
        <f>IF(Mask!P7=1,"",SQRT(u_vel!P7^2+v_vel!P7^2))</f>
        <v/>
      </c>
      <c r="Q7" s="16">
        <f>IF(Mask!Q7=1,"",SQRT(u_vel!Q7^2+v_vel!Q7^2))</f>
        <v/>
      </c>
      <c r="R7" s="16">
        <f>IF(Mask!R7=1,"",SQRT(u_vel!R7^2+v_vel!R7^2))</f>
        <v/>
      </c>
      <c r="S7" s="16">
        <f>IF(Mask!S7=1,"",SQRT(u_vel!S7^2+v_vel!S7^2))</f>
        <v/>
      </c>
      <c r="T7" s="16">
        <f>IF(Mask!T7=1,"",SQRT(u_vel!T7^2+v_vel!T7^2))</f>
        <v/>
      </c>
      <c r="U7" s="16">
        <f>IF(Mask!U7=1,"",SQRT(u_vel!U7^2+v_vel!U7^2))</f>
        <v/>
      </c>
      <c r="V7" s="16">
        <f>IF(Mask!V7=1,"",SQRT(u_vel!V7^2+v_vel!V7^2))</f>
        <v/>
      </c>
      <c r="W7" s="16">
        <f>IF(Mask!W7=1,"",SQRT(u_vel!W7^2+v_vel!W7^2))</f>
        <v/>
      </c>
      <c r="X7" s="16">
        <f>IF(Mask!X7=1,"",SQRT(u_vel!X7^2+v_vel!X7^2))</f>
        <v/>
      </c>
      <c r="Y7" s="16">
        <f>IF(Mask!Y7=1,"",SQRT(u_vel!Y7^2+v_vel!Y7^2))</f>
        <v/>
      </c>
      <c r="Z7" s="16">
        <f>IF(Mask!Z7=1,"",SQRT(u_vel!Z7^2+v_vel!Z7^2))</f>
        <v/>
      </c>
      <c r="AA7" s="16">
        <f>IF(Mask!AA7=1,"",SQRT(u_vel!AA7^2+v_vel!AA7^2))</f>
        <v/>
      </c>
      <c r="AB7" s="16">
        <f>IF(Mask!AB7=1,"",SQRT(u_vel!AB7^2+v_vel!AB7^2))</f>
        <v/>
      </c>
      <c r="AC7" s="16">
        <f>IF(Mask!AC7=1,"",SQRT(u_vel!AC7^2+v_vel!AC7^2))</f>
        <v/>
      </c>
      <c r="AD7" s="16">
        <f>IF(Mask!AD7=1,"",SQRT(u_vel!AD7^2+v_vel!AD7^2))</f>
        <v/>
      </c>
      <c r="AE7" s="16">
        <f>IF(Mask!AE7=1,"",SQRT(u_vel!AE7^2+v_vel!AE7^2))</f>
        <v/>
      </c>
      <c r="AF7" s="16">
        <f>IF(Mask!AF7=1,"",SQRT(u_vel!AF7^2+v_vel!AF7^2))</f>
        <v/>
      </c>
      <c r="AG7" s="16">
        <f>IF(Mask!AG7=1,"",SQRT(u_vel!AG7^2+v_vel!AG7^2))</f>
        <v/>
      </c>
      <c r="AH7" s="16">
        <f>IF(Mask!AH7=1,"",SQRT(u_vel!AH7^2+v_vel!AH7^2))</f>
        <v/>
      </c>
      <c r="AI7" s="16">
        <f>IF(Mask!AI7=1,"",SQRT(u_vel!AI7^2+v_vel!AI7^2))</f>
        <v/>
      </c>
      <c r="AJ7" s="16">
        <f>IF(Mask!AJ7=1,"",SQRT(u_vel!AJ7^2+v_vel!AJ7^2))</f>
        <v/>
      </c>
      <c r="AK7" s="16">
        <f>IF(Mask!AK7=1,"",SQRT(u_vel!AK7^2+v_vel!AK7^2))</f>
        <v/>
      </c>
      <c r="AL7" s="16">
        <f>IF(Mask!AL7=1,"",SQRT(u_vel!AL7^2+v_vel!AL7^2))</f>
        <v/>
      </c>
      <c r="AM7" s="16">
        <f>IF(Mask!AM7=1,"",SQRT(u_vel!AM7^2+v_vel!AM7^2))</f>
        <v/>
      </c>
      <c r="AN7" s="16">
        <f>IF(Mask!AN7=1,"",SQRT(u_vel!AN7^2+v_vel!AN7^2))</f>
        <v/>
      </c>
      <c r="AO7" s="16">
        <f>IF(Mask!AO7=1,"",SQRT(u_vel!AO7^2+v_vel!AO7^2))</f>
        <v/>
      </c>
      <c r="AP7" s="16">
        <f>IF(Mask!AP7=1,"",SQRT(u_vel!AP7^2+v_vel!AP7^2))</f>
        <v/>
      </c>
    </row>
    <row r="8">
      <c r="A8" s="7">
        <f>A7-p_h</f>
        <v/>
      </c>
      <c r="B8" s="16">
        <f>IF(Mask!B8=1,"",SQRT(u_vel!B8^2+v_vel!B8^2))</f>
        <v/>
      </c>
      <c r="C8" s="16">
        <f>IF(Mask!C8=1,"",SQRT(u_vel!C8^2+v_vel!C8^2))</f>
        <v/>
      </c>
      <c r="D8" s="16">
        <f>IF(Mask!D8=1,"",SQRT(u_vel!D8^2+v_vel!D8^2))</f>
        <v/>
      </c>
      <c r="E8" s="16">
        <f>IF(Mask!E8=1,"",SQRT(u_vel!E8^2+v_vel!E8^2))</f>
        <v/>
      </c>
      <c r="F8" s="16">
        <f>IF(Mask!F8=1,"",SQRT(u_vel!F8^2+v_vel!F8^2))</f>
        <v/>
      </c>
      <c r="G8" s="16">
        <f>IF(Mask!G8=1,"",SQRT(u_vel!G8^2+v_vel!G8^2))</f>
        <v/>
      </c>
      <c r="H8" s="16">
        <f>IF(Mask!H8=1,"",SQRT(u_vel!H8^2+v_vel!H8^2))</f>
        <v/>
      </c>
      <c r="I8" s="16">
        <f>IF(Mask!I8=1,"",SQRT(u_vel!I8^2+v_vel!I8^2))</f>
        <v/>
      </c>
      <c r="J8" s="16">
        <f>IF(Mask!J8=1,"",SQRT(u_vel!J8^2+v_vel!J8^2))</f>
        <v/>
      </c>
      <c r="K8" s="16">
        <f>IF(Mask!K8=1,"",SQRT(u_vel!K8^2+v_vel!K8^2))</f>
        <v/>
      </c>
      <c r="L8" s="16">
        <f>IF(Mask!L8=1,"",SQRT(u_vel!L8^2+v_vel!L8^2))</f>
        <v/>
      </c>
      <c r="M8" s="16">
        <f>IF(Mask!M8=1,"",SQRT(u_vel!M8^2+v_vel!M8^2))</f>
        <v/>
      </c>
      <c r="N8" s="16">
        <f>IF(Mask!N8=1,"",SQRT(u_vel!N8^2+v_vel!N8^2))</f>
        <v/>
      </c>
      <c r="O8" s="16">
        <f>IF(Mask!O8=1,"",SQRT(u_vel!O8^2+v_vel!O8^2))</f>
        <v/>
      </c>
      <c r="P8" s="16">
        <f>IF(Mask!P8=1,"",SQRT(u_vel!P8^2+v_vel!P8^2))</f>
        <v/>
      </c>
      <c r="Q8" s="16">
        <f>IF(Mask!Q8=1,"",SQRT(u_vel!Q8^2+v_vel!Q8^2))</f>
        <v/>
      </c>
      <c r="R8" s="16">
        <f>IF(Mask!R8=1,"",SQRT(u_vel!R8^2+v_vel!R8^2))</f>
        <v/>
      </c>
      <c r="S8" s="16">
        <f>IF(Mask!S8=1,"",SQRT(u_vel!S8^2+v_vel!S8^2))</f>
        <v/>
      </c>
      <c r="T8" s="16">
        <f>IF(Mask!T8=1,"",SQRT(u_vel!T8^2+v_vel!T8^2))</f>
        <v/>
      </c>
      <c r="U8" s="16">
        <f>IF(Mask!U8=1,"",SQRT(u_vel!U8^2+v_vel!U8^2))</f>
        <v/>
      </c>
      <c r="V8" s="16">
        <f>IF(Mask!V8=1,"",SQRT(u_vel!V8^2+v_vel!V8^2))</f>
        <v/>
      </c>
      <c r="W8" s="16">
        <f>IF(Mask!W8=1,"",SQRT(u_vel!W8^2+v_vel!W8^2))</f>
        <v/>
      </c>
      <c r="X8" s="16">
        <f>IF(Mask!X8=1,"",SQRT(u_vel!X8^2+v_vel!X8^2))</f>
        <v/>
      </c>
      <c r="Y8" s="16">
        <f>IF(Mask!Y8=1,"",SQRT(u_vel!Y8^2+v_vel!Y8^2))</f>
        <v/>
      </c>
      <c r="Z8" s="16">
        <f>IF(Mask!Z8=1,"",SQRT(u_vel!Z8^2+v_vel!Z8^2))</f>
        <v/>
      </c>
      <c r="AA8" s="16">
        <f>IF(Mask!AA8=1,"",SQRT(u_vel!AA8^2+v_vel!AA8^2))</f>
        <v/>
      </c>
      <c r="AB8" s="16">
        <f>IF(Mask!AB8=1,"",SQRT(u_vel!AB8^2+v_vel!AB8^2))</f>
        <v/>
      </c>
      <c r="AC8" s="16">
        <f>IF(Mask!AC8=1,"",SQRT(u_vel!AC8^2+v_vel!AC8^2))</f>
        <v/>
      </c>
      <c r="AD8" s="16">
        <f>IF(Mask!AD8=1,"",SQRT(u_vel!AD8^2+v_vel!AD8^2))</f>
        <v/>
      </c>
      <c r="AE8" s="16">
        <f>IF(Mask!AE8=1,"",SQRT(u_vel!AE8^2+v_vel!AE8^2))</f>
        <v/>
      </c>
      <c r="AF8" s="16">
        <f>IF(Mask!AF8=1,"",SQRT(u_vel!AF8^2+v_vel!AF8^2))</f>
        <v/>
      </c>
      <c r="AG8" s="16">
        <f>IF(Mask!AG8=1,"",SQRT(u_vel!AG8^2+v_vel!AG8^2))</f>
        <v/>
      </c>
      <c r="AH8" s="16">
        <f>IF(Mask!AH8=1,"",SQRT(u_vel!AH8^2+v_vel!AH8^2))</f>
        <v/>
      </c>
      <c r="AI8" s="16">
        <f>IF(Mask!AI8=1,"",SQRT(u_vel!AI8^2+v_vel!AI8^2))</f>
        <v/>
      </c>
      <c r="AJ8" s="16">
        <f>IF(Mask!AJ8=1,"",SQRT(u_vel!AJ8^2+v_vel!AJ8^2))</f>
        <v/>
      </c>
      <c r="AK8" s="16">
        <f>IF(Mask!AK8=1,"",SQRT(u_vel!AK8^2+v_vel!AK8^2))</f>
        <v/>
      </c>
      <c r="AL8" s="16">
        <f>IF(Mask!AL8=1,"",SQRT(u_vel!AL8^2+v_vel!AL8^2))</f>
        <v/>
      </c>
      <c r="AM8" s="16">
        <f>IF(Mask!AM8=1,"",SQRT(u_vel!AM8^2+v_vel!AM8^2))</f>
        <v/>
      </c>
      <c r="AN8" s="16">
        <f>IF(Mask!AN8=1,"",SQRT(u_vel!AN8^2+v_vel!AN8^2))</f>
        <v/>
      </c>
      <c r="AO8" s="16">
        <f>IF(Mask!AO8=1,"",SQRT(u_vel!AO8^2+v_vel!AO8^2))</f>
        <v/>
      </c>
      <c r="AP8" s="16">
        <f>IF(Mask!AP8=1,"",SQRT(u_vel!AP8^2+v_vel!AP8^2))</f>
        <v/>
      </c>
    </row>
    <row r="9">
      <c r="A9" s="7">
        <f>A8-p_h</f>
        <v/>
      </c>
      <c r="B9" s="16">
        <f>IF(Mask!B9=1,"",SQRT(u_vel!B9^2+v_vel!B9^2))</f>
        <v/>
      </c>
      <c r="C9" s="16">
        <f>IF(Mask!C9=1,"",SQRT(u_vel!C9^2+v_vel!C9^2))</f>
        <v/>
      </c>
      <c r="D9" s="16">
        <f>IF(Mask!D9=1,"",SQRT(u_vel!D9^2+v_vel!D9^2))</f>
        <v/>
      </c>
      <c r="E9" s="16">
        <f>IF(Mask!E9=1,"",SQRT(u_vel!E9^2+v_vel!E9^2))</f>
        <v/>
      </c>
      <c r="F9" s="16">
        <f>IF(Mask!F9=1,"",SQRT(u_vel!F9^2+v_vel!F9^2))</f>
        <v/>
      </c>
      <c r="G9" s="16">
        <f>IF(Mask!G9=1,"",SQRT(u_vel!G9^2+v_vel!G9^2))</f>
        <v/>
      </c>
      <c r="H9" s="16">
        <f>IF(Mask!H9=1,"",SQRT(u_vel!H9^2+v_vel!H9^2))</f>
        <v/>
      </c>
      <c r="I9" s="16">
        <f>IF(Mask!I9=1,"",SQRT(u_vel!I9^2+v_vel!I9^2))</f>
        <v/>
      </c>
      <c r="J9" s="16">
        <f>IF(Mask!J9=1,"",SQRT(u_vel!J9^2+v_vel!J9^2))</f>
        <v/>
      </c>
      <c r="K9" s="16">
        <f>IF(Mask!K9=1,"",SQRT(u_vel!K9^2+v_vel!K9^2))</f>
        <v/>
      </c>
      <c r="L9" s="16">
        <f>IF(Mask!L9=1,"",SQRT(u_vel!L9^2+v_vel!L9^2))</f>
        <v/>
      </c>
      <c r="M9" s="16">
        <f>IF(Mask!M9=1,"",SQRT(u_vel!M9^2+v_vel!M9^2))</f>
        <v/>
      </c>
      <c r="N9" s="16">
        <f>IF(Mask!N9=1,"",SQRT(u_vel!N9^2+v_vel!N9^2))</f>
        <v/>
      </c>
      <c r="O9" s="16">
        <f>IF(Mask!O9=1,"",SQRT(u_vel!O9^2+v_vel!O9^2))</f>
        <v/>
      </c>
      <c r="P9" s="16">
        <f>IF(Mask!P9=1,"",SQRT(u_vel!P9^2+v_vel!P9^2))</f>
        <v/>
      </c>
      <c r="Q9" s="16">
        <f>IF(Mask!Q9=1,"",SQRT(u_vel!Q9^2+v_vel!Q9^2))</f>
        <v/>
      </c>
      <c r="R9" s="16">
        <f>IF(Mask!R9=1,"",SQRT(u_vel!R9^2+v_vel!R9^2))</f>
        <v/>
      </c>
      <c r="S9" s="16">
        <f>IF(Mask!S9=1,"",SQRT(u_vel!S9^2+v_vel!S9^2))</f>
        <v/>
      </c>
      <c r="T9" s="16">
        <f>IF(Mask!T9=1,"",SQRT(u_vel!T9^2+v_vel!T9^2))</f>
        <v/>
      </c>
      <c r="U9" s="16">
        <f>IF(Mask!U9=1,"",SQRT(u_vel!U9^2+v_vel!U9^2))</f>
        <v/>
      </c>
      <c r="V9" s="16">
        <f>IF(Mask!V9=1,"",SQRT(u_vel!V9^2+v_vel!V9^2))</f>
        <v/>
      </c>
      <c r="W9" s="16">
        <f>IF(Mask!W9=1,"",SQRT(u_vel!W9^2+v_vel!W9^2))</f>
        <v/>
      </c>
      <c r="X9" s="16">
        <f>IF(Mask!X9=1,"",SQRT(u_vel!X9^2+v_vel!X9^2))</f>
        <v/>
      </c>
      <c r="Y9" s="16">
        <f>IF(Mask!Y9=1,"",SQRT(u_vel!Y9^2+v_vel!Y9^2))</f>
        <v/>
      </c>
      <c r="Z9" s="16">
        <f>IF(Mask!Z9=1,"",SQRT(u_vel!Z9^2+v_vel!Z9^2))</f>
        <v/>
      </c>
      <c r="AA9" s="16">
        <f>IF(Mask!AA9=1,"",SQRT(u_vel!AA9^2+v_vel!AA9^2))</f>
        <v/>
      </c>
      <c r="AB9" s="16">
        <f>IF(Mask!AB9=1,"",SQRT(u_vel!AB9^2+v_vel!AB9^2))</f>
        <v/>
      </c>
      <c r="AC9" s="16">
        <f>IF(Mask!AC9=1,"",SQRT(u_vel!AC9^2+v_vel!AC9^2))</f>
        <v/>
      </c>
      <c r="AD9" s="16">
        <f>IF(Mask!AD9=1,"",SQRT(u_vel!AD9^2+v_vel!AD9^2))</f>
        <v/>
      </c>
      <c r="AE9" s="16">
        <f>IF(Mask!AE9=1,"",SQRT(u_vel!AE9^2+v_vel!AE9^2))</f>
        <v/>
      </c>
      <c r="AF9" s="16">
        <f>IF(Mask!AF9=1,"",SQRT(u_vel!AF9^2+v_vel!AF9^2))</f>
        <v/>
      </c>
      <c r="AG9" s="16">
        <f>IF(Mask!AG9=1,"",SQRT(u_vel!AG9^2+v_vel!AG9^2))</f>
        <v/>
      </c>
      <c r="AH9" s="16">
        <f>IF(Mask!AH9=1,"",SQRT(u_vel!AH9^2+v_vel!AH9^2))</f>
        <v/>
      </c>
      <c r="AI9" s="16">
        <f>IF(Mask!AI9=1,"",SQRT(u_vel!AI9^2+v_vel!AI9^2))</f>
        <v/>
      </c>
      <c r="AJ9" s="16">
        <f>IF(Mask!AJ9=1,"",SQRT(u_vel!AJ9^2+v_vel!AJ9^2))</f>
        <v/>
      </c>
      <c r="AK9" s="16">
        <f>IF(Mask!AK9=1,"",SQRT(u_vel!AK9^2+v_vel!AK9^2))</f>
        <v/>
      </c>
      <c r="AL9" s="16">
        <f>IF(Mask!AL9=1,"",SQRT(u_vel!AL9^2+v_vel!AL9^2))</f>
        <v/>
      </c>
      <c r="AM9" s="16">
        <f>IF(Mask!AM9=1,"",SQRT(u_vel!AM9^2+v_vel!AM9^2))</f>
        <v/>
      </c>
      <c r="AN9" s="16">
        <f>IF(Mask!AN9=1,"",SQRT(u_vel!AN9^2+v_vel!AN9^2))</f>
        <v/>
      </c>
      <c r="AO9" s="16">
        <f>IF(Mask!AO9=1,"",SQRT(u_vel!AO9^2+v_vel!AO9^2))</f>
        <v/>
      </c>
      <c r="AP9" s="16">
        <f>IF(Mask!AP9=1,"",SQRT(u_vel!AP9^2+v_vel!AP9^2))</f>
        <v/>
      </c>
    </row>
    <row r="10">
      <c r="A10" s="7">
        <f>A9-p_h</f>
        <v/>
      </c>
      <c r="B10" s="16">
        <f>IF(Mask!B10=1,"",SQRT(u_vel!B10^2+v_vel!B10^2))</f>
        <v/>
      </c>
      <c r="C10" s="16">
        <f>IF(Mask!C10=1,"",SQRT(u_vel!C10^2+v_vel!C10^2))</f>
        <v/>
      </c>
      <c r="D10" s="16">
        <f>IF(Mask!D10=1,"",SQRT(u_vel!D10^2+v_vel!D10^2))</f>
        <v/>
      </c>
      <c r="E10" s="16">
        <f>IF(Mask!E10=1,"",SQRT(u_vel!E10^2+v_vel!E10^2))</f>
        <v/>
      </c>
      <c r="F10" s="16">
        <f>IF(Mask!F10=1,"",SQRT(u_vel!F10^2+v_vel!F10^2))</f>
        <v/>
      </c>
      <c r="G10" s="16">
        <f>IF(Mask!G10=1,"",SQRT(u_vel!G10^2+v_vel!G10^2))</f>
        <v/>
      </c>
      <c r="H10" s="16">
        <f>IF(Mask!H10=1,"",SQRT(u_vel!H10^2+v_vel!H10^2))</f>
        <v/>
      </c>
      <c r="I10" s="16">
        <f>IF(Mask!I10=1,"",SQRT(u_vel!I10^2+v_vel!I10^2))</f>
        <v/>
      </c>
      <c r="J10" s="16">
        <f>IF(Mask!J10=1,"",SQRT(u_vel!J10^2+v_vel!J10^2))</f>
        <v/>
      </c>
      <c r="K10" s="16">
        <f>IF(Mask!K10=1,"",SQRT(u_vel!K10^2+v_vel!K10^2))</f>
        <v/>
      </c>
      <c r="L10" s="16">
        <f>IF(Mask!L10=1,"",SQRT(u_vel!L10^2+v_vel!L10^2))</f>
        <v/>
      </c>
      <c r="M10" s="16">
        <f>IF(Mask!M10=1,"",SQRT(u_vel!M10^2+v_vel!M10^2))</f>
        <v/>
      </c>
      <c r="N10" s="16">
        <f>IF(Mask!N10=1,"",SQRT(u_vel!N10^2+v_vel!N10^2))</f>
        <v/>
      </c>
      <c r="O10" s="16">
        <f>IF(Mask!O10=1,"",SQRT(u_vel!O10^2+v_vel!O10^2))</f>
        <v/>
      </c>
      <c r="P10" s="16">
        <f>IF(Mask!P10=1,"",SQRT(u_vel!P10^2+v_vel!P10^2))</f>
        <v/>
      </c>
      <c r="Q10" s="16">
        <f>IF(Mask!Q10=1,"",SQRT(u_vel!Q10^2+v_vel!Q10^2))</f>
        <v/>
      </c>
      <c r="R10" s="16">
        <f>IF(Mask!R10=1,"",SQRT(u_vel!R10^2+v_vel!R10^2))</f>
        <v/>
      </c>
      <c r="S10" s="16">
        <f>IF(Mask!S10=1,"",SQRT(u_vel!S10^2+v_vel!S10^2))</f>
        <v/>
      </c>
      <c r="T10" s="16">
        <f>IF(Mask!T10=1,"",SQRT(u_vel!T10^2+v_vel!T10^2))</f>
        <v/>
      </c>
      <c r="U10" s="16">
        <f>IF(Mask!U10=1,"",SQRT(u_vel!U10^2+v_vel!U10^2))</f>
        <v/>
      </c>
      <c r="V10" s="16">
        <f>IF(Mask!V10=1,"",SQRT(u_vel!V10^2+v_vel!V10^2))</f>
        <v/>
      </c>
      <c r="W10" s="16">
        <f>IF(Mask!W10=1,"",SQRT(u_vel!W10^2+v_vel!W10^2))</f>
        <v/>
      </c>
      <c r="X10" s="16">
        <f>IF(Mask!X10=1,"",SQRT(u_vel!X10^2+v_vel!X10^2))</f>
        <v/>
      </c>
      <c r="Y10" s="16">
        <f>IF(Mask!Y10=1,"",SQRT(u_vel!Y10^2+v_vel!Y10^2))</f>
        <v/>
      </c>
      <c r="Z10" s="16">
        <f>IF(Mask!Z10=1,"",SQRT(u_vel!Z10^2+v_vel!Z10^2))</f>
        <v/>
      </c>
      <c r="AA10" s="16">
        <f>IF(Mask!AA10=1,"",SQRT(u_vel!AA10^2+v_vel!AA10^2))</f>
        <v/>
      </c>
      <c r="AB10" s="16">
        <f>IF(Mask!AB10=1,"",SQRT(u_vel!AB10^2+v_vel!AB10^2))</f>
        <v/>
      </c>
      <c r="AC10" s="16">
        <f>IF(Mask!AC10=1,"",SQRT(u_vel!AC10^2+v_vel!AC10^2))</f>
        <v/>
      </c>
      <c r="AD10" s="16">
        <f>IF(Mask!AD10=1,"",SQRT(u_vel!AD10^2+v_vel!AD10^2))</f>
        <v/>
      </c>
      <c r="AE10" s="16">
        <f>IF(Mask!AE10=1,"",SQRT(u_vel!AE10^2+v_vel!AE10^2))</f>
        <v/>
      </c>
      <c r="AF10" s="16">
        <f>IF(Mask!AF10=1,"",SQRT(u_vel!AF10^2+v_vel!AF10^2))</f>
        <v/>
      </c>
      <c r="AG10" s="16">
        <f>IF(Mask!AG10=1,"",SQRT(u_vel!AG10^2+v_vel!AG10^2))</f>
        <v/>
      </c>
      <c r="AH10" s="16">
        <f>IF(Mask!AH10=1,"",SQRT(u_vel!AH10^2+v_vel!AH10^2))</f>
        <v/>
      </c>
      <c r="AI10" s="16">
        <f>IF(Mask!AI10=1,"",SQRT(u_vel!AI10^2+v_vel!AI10^2))</f>
        <v/>
      </c>
      <c r="AJ10" s="16">
        <f>IF(Mask!AJ10=1,"",SQRT(u_vel!AJ10^2+v_vel!AJ10^2))</f>
        <v/>
      </c>
      <c r="AK10" s="16">
        <f>IF(Mask!AK10=1,"",SQRT(u_vel!AK10^2+v_vel!AK10^2))</f>
        <v/>
      </c>
      <c r="AL10" s="16">
        <f>IF(Mask!AL10=1,"",SQRT(u_vel!AL10^2+v_vel!AL10^2))</f>
        <v/>
      </c>
      <c r="AM10" s="16">
        <f>IF(Mask!AM10=1,"",SQRT(u_vel!AM10^2+v_vel!AM10^2))</f>
        <v/>
      </c>
      <c r="AN10" s="16">
        <f>IF(Mask!AN10=1,"",SQRT(u_vel!AN10^2+v_vel!AN10^2))</f>
        <v/>
      </c>
      <c r="AO10" s="16">
        <f>IF(Mask!AO10=1,"",SQRT(u_vel!AO10^2+v_vel!AO10^2))</f>
        <v/>
      </c>
      <c r="AP10" s="16">
        <f>IF(Mask!AP10=1,"",SQRT(u_vel!AP10^2+v_vel!AP10^2))</f>
        <v/>
      </c>
    </row>
    <row r="11">
      <c r="A11" s="7">
        <f>A10-p_h</f>
        <v/>
      </c>
      <c r="B11" s="16">
        <f>IF(Mask!B11=1,"",SQRT(u_vel!B11^2+v_vel!B11^2))</f>
        <v/>
      </c>
      <c r="C11" s="16">
        <f>IF(Mask!C11=1,"",SQRT(u_vel!C11^2+v_vel!C11^2))</f>
        <v/>
      </c>
      <c r="D11" s="16">
        <f>IF(Mask!D11=1,"",SQRT(u_vel!D11^2+v_vel!D11^2))</f>
        <v/>
      </c>
      <c r="E11" s="16">
        <f>IF(Mask!E11=1,"",SQRT(u_vel!E11^2+v_vel!E11^2))</f>
        <v/>
      </c>
      <c r="F11" s="16">
        <f>IF(Mask!F11=1,"",SQRT(u_vel!F11^2+v_vel!F11^2))</f>
        <v/>
      </c>
      <c r="G11" s="16">
        <f>IF(Mask!G11=1,"",SQRT(u_vel!G11^2+v_vel!G11^2))</f>
        <v/>
      </c>
      <c r="H11" s="16">
        <f>IF(Mask!H11=1,"",SQRT(u_vel!H11^2+v_vel!H11^2))</f>
        <v/>
      </c>
      <c r="I11" s="16">
        <f>IF(Mask!I11=1,"",SQRT(u_vel!I11^2+v_vel!I11^2))</f>
        <v/>
      </c>
      <c r="J11" s="16">
        <f>IF(Mask!J11=1,"",SQRT(u_vel!J11^2+v_vel!J11^2))</f>
        <v/>
      </c>
      <c r="K11" s="16">
        <f>IF(Mask!K11=1,"",SQRT(u_vel!K11^2+v_vel!K11^2))</f>
        <v/>
      </c>
      <c r="L11" s="16">
        <f>IF(Mask!L11=1,"",SQRT(u_vel!L11^2+v_vel!L11^2))</f>
        <v/>
      </c>
      <c r="M11" s="16">
        <f>IF(Mask!M11=1,"",SQRT(u_vel!M11^2+v_vel!M11^2))</f>
        <v/>
      </c>
      <c r="N11" s="16">
        <f>IF(Mask!N11=1,"",SQRT(u_vel!N11^2+v_vel!N11^2))</f>
        <v/>
      </c>
      <c r="O11" s="16">
        <f>IF(Mask!O11=1,"",SQRT(u_vel!O11^2+v_vel!O11^2))</f>
        <v/>
      </c>
      <c r="P11" s="16">
        <f>IF(Mask!P11=1,"",SQRT(u_vel!P11^2+v_vel!P11^2))</f>
        <v/>
      </c>
      <c r="Q11" s="16">
        <f>IF(Mask!Q11=1,"",SQRT(u_vel!Q11^2+v_vel!Q11^2))</f>
        <v/>
      </c>
      <c r="R11" s="16">
        <f>IF(Mask!R11=1,"",SQRT(u_vel!R11^2+v_vel!R11^2))</f>
        <v/>
      </c>
      <c r="S11" s="16">
        <f>IF(Mask!S11=1,"",SQRT(u_vel!S11^2+v_vel!S11^2))</f>
        <v/>
      </c>
      <c r="T11" s="16">
        <f>IF(Mask!T11=1,"",SQRT(u_vel!T11^2+v_vel!T11^2))</f>
        <v/>
      </c>
      <c r="U11" s="16">
        <f>IF(Mask!U11=1,"",SQRT(u_vel!U11^2+v_vel!U11^2))</f>
        <v/>
      </c>
      <c r="V11" s="16">
        <f>IF(Mask!V11=1,"",SQRT(u_vel!V11^2+v_vel!V11^2))</f>
        <v/>
      </c>
      <c r="W11" s="16">
        <f>IF(Mask!W11=1,"",SQRT(u_vel!W11^2+v_vel!W11^2))</f>
        <v/>
      </c>
      <c r="X11" s="16">
        <f>IF(Mask!X11=1,"",SQRT(u_vel!X11^2+v_vel!X11^2))</f>
        <v/>
      </c>
      <c r="Y11" s="16">
        <f>IF(Mask!Y11=1,"",SQRT(u_vel!Y11^2+v_vel!Y11^2))</f>
        <v/>
      </c>
      <c r="Z11" s="16">
        <f>IF(Mask!Z11=1,"",SQRT(u_vel!Z11^2+v_vel!Z11^2))</f>
        <v/>
      </c>
      <c r="AA11" s="16">
        <f>IF(Mask!AA11=1,"",SQRT(u_vel!AA11^2+v_vel!AA11^2))</f>
        <v/>
      </c>
      <c r="AB11" s="16">
        <f>IF(Mask!AB11=1,"",SQRT(u_vel!AB11^2+v_vel!AB11^2))</f>
        <v/>
      </c>
      <c r="AC11" s="16">
        <f>IF(Mask!AC11=1,"",SQRT(u_vel!AC11^2+v_vel!AC11^2))</f>
        <v/>
      </c>
      <c r="AD11" s="16">
        <f>IF(Mask!AD11=1,"",SQRT(u_vel!AD11^2+v_vel!AD11^2))</f>
        <v/>
      </c>
      <c r="AE11" s="16">
        <f>IF(Mask!AE11=1,"",SQRT(u_vel!AE11^2+v_vel!AE11^2))</f>
        <v/>
      </c>
      <c r="AF11" s="16">
        <f>IF(Mask!AF11=1,"",SQRT(u_vel!AF11^2+v_vel!AF11^2))</f>
        <v/>
      </c>
      <c r="AG11" s="16">
        <f>IF(Mask!AG11=1,"",SQRT(u_vel!AG11^2+v_vel!AG11^2))</f>
        <v/>
      </c>
      <c r="AH11" s="16">
        <f>IF(Mask!AH11=1,"",SQRT(u_vel!AH11^2+v_vel!AH11^2))</f>
        <v/>
      </c>
      <c r="AI11" s="16">
        <f>IF(Mask!AI11=1,"",SQRT(u_vel!AI11^2+v_vel!AI11^2))</f>
        <v/>
      </c>
      <c r="AJ11" s="16">
        <f>IF(Mask!AJ11=1,"",SQRT(u_vel!AJ11^2+v_vel!AJ11^2))</f>
        <v/>
      </c>
      <c r="AK11" s="16">
        <f>IF(Mask!AK11=1,"",SQRT(u_vel!AK11^2+v_vel!AK11^2))</f>
        <v/>
      </c>
      <c r="AL11" s="16">
        <f>IF(Mask!AL11=1,"",SQRT(u_vel!AL11^2+v_vel!AL11^2))</f>
        <v/>
      </c>
      <c r="AM11" s="16">
        <f>IF(Mask!AM11=1,"",SQRT(u_vel!AM11^2+v_vel!AM11^2))</f>
        <v/>
      </c>
      <c r="AN11" s="16">
        <f>IF(Mask!AN11=1,"",SQRT(u_vel!AN11^2+v_vel!AN11^2))</f>
        <v/>
      </c>
      <c r="AO11" s="16">
        <f>IF(Mask!AO11=1,"",SQRT(u_vel!AO11^2+v_vel!AO11^2))</f>
        <v/>
      </c>
      <c r="AP11" s="16">
        <f>IF(Mask!AP11=1,"",SQRT(u_vel!AP11^2+v_vel!AP11^2))</f>
        <v/>
      </c>
    </row>
    <row r="12">
      <c r="A12" s="7">
        <f>A11-p_h</f>
        <v/>
      </c>
      <c r="B12" s="16">
        <f>IF(Mask!B12=1,"",SQRT(u_vel!B12^2+v_vel!B12^2))</f>
        <v/>
      </c>
      <c r="C12" s="16">
        <f>IF(Mask!C12=1,"",SQRT(u_vel!C12^2+v_vel!C12^2))</f>
        <v/>
      </c>
      <c r="D12" s="16">
        <f>IF(Mask!D12=1,"",SQRT(u_vel!D12^2+v_vel!D12^2))</f>
        <v/>
      </c>
      <c r="E12" s="16">
        <f>IF(Mask!E12=1,"",SQRT(u_vel!E12^2+v_vel!E12^2))</f>
        <v/>
      </c>
      <c r="F12" s="16">
        <f>IF(Mask!F12=1,"",SQRT(u_vel!F12^2+v_vel!F12^2))</f>
        <v/>
      </c>
      <c r="G12" s="16">
        <f>IF(Mask!G12=1,"",SQRT(u_vel!G12^2+v_vel!G12^2))</f>
        <v/>
      </c>
      <c r="H12" s="16">
        <f>IF(Mask!H12=1,"",SQRT(u_vel!H12^2+v_vel!H12^2))</f>
        <v/>
      </c>
      <c r="I12" s="16">
        <f>IF(Mask!I12=1,"",SQRT(u_vel!I12^2+v_vel!I12^2))</f>
        <v/>
      </c>
      <c r="J12" s="16">
        <f>IF(Mask!J12=1,"",SQRT(u_vel!J12^2+v_vel!J12^2))</f>
        <v/>
      </c>
      <c r="K12" s="16">
        <f>IF(Mask!K12=1,"",SQRT(u_vel!K12^2+v_vel!K12^2))</f>
        <v/>
      </c>
      <c r="L12" s="16">
        <f>IF(Mask!L12=1,"",SQRT(u_vel!L12^2+v_vel!L12^2))</f>
        <v/>
      </c>
      <c r="M12" s="16">
        <f>IF(Mask!M12=1,"",SQRT(u_vel!M12^2+v_vel!M12^2))</f>
        <v/>
      </c>
      <c r="N12" s="16">
        <f>IF(Mask!N12=1,"",SQRT(u_vel!N12^2+v_vel!N12^2))</f>
        <v/>
      </c>
      <c r="O12" s="16">
        <f>IF(Mask!O12=1,"",SQRT(u_vel!O12^2+v_vel!O12^2))</f>
        <v/>
      </c>
      <c r="P12" s="16">
        <f>IF(Mask!P12=1,"",SQRT(u_vel!P12^2+v_vel!P12^2))</f>
        <v/>
      </c>
      <c r="Q12" s="16">
        <f>IF(Mask!Q12=1,"",SQRT(u_vel!Q12^2+v_vel!Q12^2))</f>
        <v/>
      </c>
      <c r="R12" s="16">
        <f>IF(Mask!R12=1,"",SQRT(u_vel!R12^2+v_vel!R12^2))</f>
        <v/>
      </c>
      <c r="S12" s="16">
        <f>IF(Mask!S12=1,"",SQRT(u_vel!S12^2+v_vel!S12^2))</f>
        <v/>
      </c>
      <c r="T12" s="16">
        <f>IF(Mask!T12=1,"",SQRT(u_vel!T12^2+v_vel!T12^2))</f>
        <v/>
      </c>
      <c r="U12" s="16">
        <f>IF(Mask!U12=1,"",SQRT(u_vel!U12^2+v_vel!U12^2))</f>
        <v/>
      </c>
      <c r="V12" s="16">
        <f>IF(Mask!V12=1,"",SQRT(u_vel!V12^2+v_vel!V12^2))</f>
        <v/>
      </c>
      <c r="W12" s="16">
        <f>IF(Mask!W12=1,"",SQRT(u_vel!W12^2+v_vel!W12^2))</f>
        <v/>
      </c>
      <c r="X12" s="16">
        <f>IF(Mask!X12=1,"",SQRT(u_vel!X12^2+v_vel!X12^2))</f>
        <v/>
      </c>
      <c r="Y12" s="16">
        <f>IF(Mask!Y12=1,"",SQRT(u_vel!Y12^2+v_vel!Y12^2))</f>
        <v/>
      </c>
      <c r="Z12" s="16">
        <f>IF(Mask!Z12=1,"",SQRT(u_vel!Z12^2+v_vel!Z12^2))</f>
        <v/>
      </c>
      <c r="AA12" s="16">
        <f>IF(Mask!AA12=1,"",SQRT(u_vel!AA12^2+v_vel!AA12^2))</f>
        <v/>
      </c>
      <c r="AB12" s="16">
        <f>IF(Mask!AB12=1,"",SQRT(u_vel!AB12^2+v_vel!AB12^2))</f>
        <v/>
      </c>
      <c r="AC12" s="16">
        <f>IF(Mask!AC12=1,"",SQRT(u_vel!AC12^2+v_vel!AC12^2))</f>
        <v/>
      </c>
      <c r="AD12" s="16">
        <f>IF(Mask!AD12=1,"",SQRT(u_vel!AD12^2+v_vel!AD12^2))</f>
        <v/>
      </c>
      <c r="AE12" s="16">
        <f>IF(Mask!AE12=1,"",SQRT(u_vel!AE12^2+v_vel!AE12^2))</f>
        <v/>
      </c>
      <c r="AF12" s="16">
        <f>IF(Mask!AF12=1,"",SQRT(u_vel!AF12^2+v_vel!AF12^2))</f>
        <v/>
      </c>
      <c r="AG12" s="16">
        <f>IF(Mask!AG12=1,"",SQRT(u_vel!AG12^2+v_vel!AG12^2))</f>
        <v/>
      </c>
      <c r="AH12" s="16">
        <f>IF(Mask!AH12=1,"",SQRT(u_vel!AH12^2+v_vel!AH12^2))</f>
        <v/>
      </c>
      <c r="AI12" s="16">
        <f>IF(Mask!AI12=1,"",SQRT(u_vel!AI12^2+v_vel!AI12^2))</f>
        <v/>
      </c>
      <c r="AJ12" s="16">
        <f>IF(Mask!AJ12=1,"",SQRT(u_vel!AJ12^2+v_vel!AJ12^2))</f>
        <v/>
      </c>
      <c r="AK12" s="16">
        <f>IF(Mask!AK12=1,"",SQRT(u_vel!AK12^2+v_vel!AK12^2))</f>
        <v/>
      </c>
      <c r="AL12" s="16">
        <f>IF(Mask!AL12=1,"",SQRT(u_vel!AL12^2+v_vel!AL12^2))</f>
        <v/>
      </c>
      <c r="AM12" s="16">
        <f>IF(Mask!AM12=1,"",SQRT(u_vel!AM12^2+v_vel!AM12^2))</f>
        <v/>
      </c>
      <c r="AN12" s="16">
        <f>IF(Mask!AN12=1,"",SQRT(u_vel!AN12^2+v_vel!AN12^2))</f>
        <v/>
      </c>
      <c r="AO12" s="16">
        <f>IF(Mask!AO12=1,"",SQRT(u_vel!AO12^2+v_vel!AO12^2))</f>
        <v/>
      </c>
      <c r="AP12" s="16">
        <f>IF(Mask!AP12=1,"",SQRT(u_vel!AP12^2+v_vel!AP12^2))</f>
        <v/>
      </c>
    </row>
    <row r="13">
      <c r="A13" s="7">
        <f>A12-p_h</f>
        <v/>
      </c>
      <c r="B13" s="16">
        <f>IF(Mask!B13=1,"",SQRT(u_vel!B13^2+v_vel!B13^2))</f>
        <v/>
      </c>
      <c r="C13" s="16">
        <f>IF(Mask!C13=1,"",SQRT(u_vel!C13^2+v_vel!C13^2))</f>
        <v/>
      </c>
      <c r="D13" s="16">
        <f>IF(Mask!D13=1,"",SQRT(u_vel!D13^2+v_vel!D13^2))</f>
        <v/>
      </c>
      <c r="E13" s="16">
        <f>IF(Mask!E13=1,"",SQRT(u_vel!E13^2+v_vel!E13^2))</f>
        <v/>
      </c>
      <c r="F13" s="16">
        <f>IF(Mask!F13=1,"",SQRT(u_vel!F13^2+v_vel!F13^2))</f>
        <v/>
      </c>
      <c r="G13" s="16">
        <f>IF(Mask!G13=1,"",SQRT(u_vel!G13^2+v_vel!G13^2))</f>
        <v/>
      </c>
      <c r="H13" s="16">
        <f>IF(Mask!H13=1,"",SQRT(u_vel!H13^2+v_vel!H13^2))</f>
        <v/>
      </c>
      <c r="I13" s="16">
        <f>IF(Mask!I13=1,"",SQRT(u_vel!I13^2+v_vel!I13^2))</f>
        <v/>
      </c>
      <c r="J13" s="16">
        <f>IF(Mask!J13=1,"",SQRT(u_vel!J13^2+v_vel!J13^2))</f>
        <v/>
      </c>
      <c r="K13" s="16">
        <f>IF(Mask!K13=1,"",SQRT(u_vel!K13^2+v_vel!K13^2))</f>
        <v/>
      </c>
      <c r="L13" s="16">
        <f>IF(Mask!L13=1,"",SQRT(u_vel!L13^2+v_vel!L13^2))</f>
        <v/>
      </c>
      <c r="M13" s="16">
        <f>IF(Mask!M13=1,"",SQRT(u_vel!M13^2+v_vel!M13^2))</f>
        <v/>
      </c>
      <c r="N13" s="16">
        <f>IF(Mask!N13=1,"",SQRT(u_vel!N13^2+v_vel!N13^2))</f>
        <v/>
      </c>
      <c r="O13" s="16">
        <f>IF(Mask!O13=1,"",SQRT(u_vel!O13^2+v_vel!O13^2))</f>
        <v/>
      </c>
      <c r="P13" s="16">
        <f>IF(Mask!P13=1,"",SQRT(u_vel!P13^2+v_vel!P13^2))</f>
        <v/>
      </c>
      <c r="Q13" s="16">
        <f>IF(Mask!Q13=1,"",SQRT(u_vel!Q13^2+v_vel!Q13^2))</f>
        <v/>
      </c>
      <c r="R13" s="16">
        <f>IF(Mask!R13=1,"",SQRT(u_vel!R13^2+v_vel!R13^2))</f>
        <v/>
      </c>
      <c r="S13" s="16">
        <f>IF(Mask!S13=1,"",SQRT(u_vel!S13^2+v_vel!S13^2))</f>
        <v/>
      </c>
      <c r="T13" s="16">
        <f>IF(Mask!T13=1,"",SQRT(u_vel!T13^2+v_vel!T13^2))</f>
        <v/>
      </c>
      <c r="U13" s="16">
        <f>IF(Mask!U13=1,"",SQRT(u_vel!U13^2+v_vel!U13^2))</f>
        <v/>
      </c>
      <c r="V13" s="16">
        <f>IF(Mask!V13=1,"",SQRT(u_vel!V13^2+v_vel!V13^2))</f>
        <v/>
      </c>
      <c r="W13" s="16">
        <f>IF(Mask!W13=1,"",SQRT(u_vel!W13^2+v_vel!W13^2))</f>
        <v/>
      </c>
      <c r="X13" s="16">
        <f>IF(Mask!X13=1,"",SQRT(u_vel!X13^2+v_vel!X13^2))</f>
        <v/>
      </c>
      <c r="Y13" s="16">
        <f>IF(Mask!Y13=1,"",SQRT(u_vel!Y13^2+v_vel!Y13^2))</f>
        <v/>
      </c>
      <c r="Z13" s="16">
        <f>IF(Mask!Z13=1,"",SQRT(u_vel!Z13^2+v_vel!Z13^2))</f>
        <v/>
      </c>
      <c r="AA13" s="16">
        <f>IF(Mask!AA13=1,"",SQRT(u_vel!AA13^2+v_vel!AA13^2))</f>
        <v/>
      </c>
      <c r="AB13" s="16">
        <f>IF(Mask!AB13=1,"",SQRT(u_vel!AB13^2+v_vel!AB13^2))</f>
        <v/>
      </c>
      <c r="AC13" s="16">
        <f>IF(Mask!AC13=1,"",SQRT(u_vel!AC13^2+v_vel!AC13^2))</f>
        <v/>
      </c>
      <c r="AD13" s="16">
        <f>IF(Mask!AD13=1,"",SQRT(u_vel!AD13^2+v_vel!AD13^2))</f>
        <v/>
      </c>
      <c r="AE13" s="16">
        <f>IF(Mask!AE13=1,"",SQRT(u_vel!AE13^2+v_vel!AE13^2))</f>
        <v/>
      </c>
      <c r="AF13" s="16">
        <f>IF(Mask!AF13=1,"",SQRT(u_vel!AF13^2+v_vel!AF13^2))</f>
        <v/>
      </c>
      <c r="AG13" s="16">
        <f>IF(Mask!AG13=1,"",SQRT(u_vel!AG13^2+v_vel!AG13^2))</f>
        <v/>
      </c>
      <c r="AH13" s="16">
        <f>IF(Mask!AH13=1,"",SQRT(u_vel!AH13^2+v_vel!AH13^2))</f>
        <v/>
      </c>
      <c r="AI13" s="16">
        <f>IF(Mask!AI13=1,"",SQRT(u_vel!AI13^2+v_vel!AI13^2))</f>
        <v/>
      </c>
      <c r="AJ13" s="16">
        <f>IF(Mask!AJ13=1,"",SQRT(u_vel!AJ13^2+v_vel!AJ13^2))</f>
        <v/>
      </c>
      <c r="AK13" s="16">
        <f>IF(Mask!AK13=1,"",SQRT(u_vel!AK13^2+v_vel!AK13^2))</f>
        <v/>
      </c>
      <c r="AL13" s="16">
        <f>IF(Mask!AL13=1,"",SQRT(u_vel!AL13^2+v_vel!AL13^2))</f>
        <v/>
      </c>
      <c r="AM13" s="16">
        <f>IF(Mask!AM13=1,"",SQRT(u_vel!AM13^2+v_vel!AM13^2))</f>
        <v/>
      </c>
      <c r="AN13" s="16">
        <f>IF(Mask!AN13=1,"",SQRT(u_vel!AN13^2+v_vel!AN13^2))</f>
        <v/>
      </c>
      <c r="AO13" s="16">
        <f>IF(Mask!AO13=1,"",SQRT(u_vel!AO13^2+v_vel!AO13^2))</f>
        <v/>
      </c>
      <c r="AP13" s="16">
        <f>IF(Mask!AP13=1,"",SQRT(u_vel!AP13^2+v_vel!AP13^2))</f>
        <v/>
      </c>
    </row>
    <row r="14">
      <c r="A14" s="7">
        <f>A13-p_h</f>
        <v/>
      </c>
      <c r="B14" s="16">
        <f>IF(Mask!B14=1,"",SQRT(u_vel!B14^2+v_vel!B14^2))</f>
        <v/>
      </c>
      <c r="C14" s="16">
        <f>IF(Mask!C14=1,"",SQRT(u_vel!C14^2+v_vel!C14^2))</f>
        <v/>
      </c>
      <c r="D14" s="16">
        <f>IF(Mask!D14=1,"",SQRT(u_vel!D14^2+v_vel!D14^2))</f>
        <v/>
      </c>
      <c r="E14" s="16">
        <f>IF(Mask!E14=1,"",SQRT(u_vel!E14^2+v_vel!E14^2))</f>
        <v/>
      </c>
      <c r="F14" s="16">
        <f>IF(Mask!F14=1,"",SQRT(u_vel!F14^2+v_vel!F14^2))</f>
        <v/>
      </c>
      <c r="G14" s="16">
        <f>IF(Mask!G14=1,"",SQRT(u_vel!G14^2+v_vel!G14^2))</f>
        <v/>
      </c>
      <c r="H14" s="16">
        <f>IF(Mask!H14=1,"",SQRT(u_vel!H14^2+v_vel!H14^2))</f>
        <v/>
      </c>
      <c r="I14" s="16">
        <f>IF(Mask!I14=1,"",SQRT(u_vel!I14^2+v_vel!I14^2))</f>
        <v/>
      </c>
      <c r="J14" s="16">
        <f>IF(Mask!J14=1,"",SQRT(u_vel!J14^2+v_vel!J14^2))</f>
        <v/>
      </c>
      <c r="K14" s="16">
        <f>IF(Mask!K14=1,"",SQRT(u_vel!K14^2+v_vel!K14^2))</f>
        <v/>
      </c>
      <c r="L14" s="16">
        <f>IF(Mask!L14=1,"",SQRT(u_vel!L14^2+v_vel!L14^2))</f>
        <v/>
      </c>
      <c r="M14" s="16">
        <f>IF(Mask!M14=1,"",SQRT(u_vel!M14^2+v_vel!M14^2))</f>
        <v/>
      </c>
      <c r="N14" s="16">
        <f>IF(Mask!N14=1,"",SQRT(u_vel!N14^2+v_vel!N14^2))</f>
        <v/>
      </c>
      <c r="O14" s="16">
        <f>IF(Mask!O14=1,"",SQRT(u_vel!O14^2+v_vel!O14^2))</f>
        <v/>
      </c>
      <c r="P14" s="16">
        <f>IF(Mask!P14=1,"",SQRT(u_vel!P14^2+v_vel!P14^2))</f>
        <v/>
      </c>
      <c r="Q14" s="16">
        <f>IF(Mask!Q14=1,"",SQRT(u_vel!Q14^2+v_vel!Q14^2))</f>
        <v/>
      </c>
      <c r="R14" s="16">
        <f>IF(Mask!R14=1,"",SQRT(u_vel!R14^2+v_vel!R14^2))</f>
        <v/>
      </c>
      <c r="S14" s="16">
        <f>IF(Mask!S14=1,"",SQRT(u_vel!S14^2+v_vel!S14^2))</f>
        <v/>
      </c>
      <c r="T14" s="16">
        <f>IF(Mask!T14=1,"",SQRT(u_vel!T14^2+v_vel!T14^2))</f>
        <v/>
      </c>
      <c r="U14" s="16">
        <f>IF(Mask!U14=1,"",SQRT(u_vel!U14^2+v_vel!U14^2))</f>
        <v/>
      </c>
      <c r="V14" s="16">
        <f>IF(Mask!V14=1,"",SQRT(u_vel!V14^2+v_vel!V14^2))</f>
        <v/>
      </c>
      <c r="W14" s="16">
        <f>IF(Mask!W14=1,"",SQRT(u_vel!W14^2+v_vel!W14^2))</f>
        <v/>
      </c>
      <c r="X14" s="16">
        <f>IF(Mask!X14=1,"",SQRT(u_vel!X14^2+v_vel!X14^2))</f>
        <v/>
      </c>
      <c r="Y14" s="16">
        <f>IF(Mask!Y14=1,"",SQRT(u_vel!Y14^2+v_vel!Y14^2))</f>
        <v/>
      </c>
      <c r="Z14" s="16">
        <f>IF(Mask!Z14=1,"",SQRT(u_vel!Z14^2+v_vel!Z14^2))</f>
        <v/>
      </c>
      <c r="AA14" s="16">
        <f>IF(Mask!AA14=1,"",SQRT(u_vel!AA14^2+v_vel!AA14^2))</f>
        <v/>
      </c>
      <c r="AB14" s="16">
        <f>IF(Mask!AB14=1,"",SQRT(u_vel!AB14^2+v_vel!AB14^2))</f>
        <v/>
      </c>
      <c r="AC14" s="16">
        <f>IF(Mask!AC14=1,"",SQRT(u_vel!AC14^2+v_vel!AC14^2))</f>
        <v/>
      </c>
      <c r="AD14" s="16">
        <f>IF(Mask!AD14=1,"",SQRT(u_vel!AD14^2+v_vel!AD14^2))</f>
        <v/>
      </c>
      <c r="AE14" s="16">
        <f>IF(Mask!AE14=1,"",SQRT(u_vel!AE14^2+v_vel!AE14^2))</f>
        <v/>
      </c>
      <c r="AF14" s="16">
        <f>IF(Mask!AF14=1,"",SQRT(u_vel!AF14^2+v_vel!AF14^2))</f>
        <v/>
      </c>
      <c r="AG14" s="16">
        <f>IF(Mask!AG14=1,"",SQRT(u_vel!AG14^2+v_vel!AG14^2))</f>
        <v/>
      </c>
      <c r="AH14" s="16">
        <f>IF(Mask!AH14=1,"",SQRT(u_vel!AH14^2+v_vel!AH14^2))</f>
        <v/>
      </c>
      <c r="AI14" s="16">
        <f>IF(Mask!AI14=1,"",SQRT(u_vel!AI14^2+v_vel!AI14^2))</f>
        <v/>
      </c>
      <c r="AJ14" s="16">
        <f>IF(Mask!AJ14=1,"",SQRT(u_vel!AJ14^2+v_vel!AJ14^2))</f>
        <v/>
      </c>
      <c r="AK14" s="16">
        <f>IF(Mask!AK14=1,"",SQRT(u_vel!AK14^2+v_vel!AK14^2))</f>
        <v/>
      </c>
      <c r="AL14" s="16">
        <f>IF(Mask!AL14=1,"",SQRT(u_vel!AL14^2+v_vel!AL14^2))</f>
        <v/>
      </c>
      <c r="AM14" s="16">
        <f>IF(Mask!AM14=1,"",SQRT(u_vel!AM14^2+v_vel!AM14^2))</f>
        <v/>
      </c>
      <c r="AN14" s="16">
        <f>IF(Mask!AN14=1,"",SQRT(u_vel!AN14^2+v_vel!AN14^2))</f>
        <v/>
      </c>
      <c r="AO14" s="16">
        <f>IF(Mask!AO14=1,"",SQRT(u_vel!AO14^2+v_vel!AO14^2))</f>
        <v/>
      </c>
      <c r="AP14" s="16">
        <f>IF(Mask!AP14=1,"",SQRT(u_vel!AP14^2+v_vel!AP14^2))</f>
        <v/>
      </c>
    </row>
    <row r="15">
      <c r="A15" s="7">
        <f>A14-p_h</f>
        <v/>
      </c>
      <c r="B15" s="16">
        <f>IF(Mask!B15=1,"",SQRT(u_vel!B15^2+v_vel!B15^2))</f>
        <v/>
      </c>
      <c r="C15" s="16">
        <f>IF(Mask!C15=1,"",SQRT(u_vel!C15^2+v_vel!C15^2))</f>
        <v/>
      </c>
      <c r="D15" s="16">
        <f>IF(Mask!D15=1,"",SQRT(u_vel!D15^2+v_vel!D15^2))</f>
        <v/>
      </c>
      <c r="E15" s="16">
        <f>IF(Mask!E15=1,"",SQRT(u_vel!E15^2+v_vel!E15^2))</f>
        <v/>
      </c>
      <c r="F15" s="16">
        <f>IF(Mask!F15=1,"",SQRT(u_vel!F15^2+v_vel!F15^2))</f>
        <v/>
      </c>
      <c r="G15" s="16">
        <f>IF(Mask!G15=1,"",SQRT(u_vel!G15^2+v_vel!G15^2))</f>
        <v/>
      </c>
      <c r="H15" s="16">
        <f>IF(Mask!H15=1,"",SQRT(u_vel!H15^2+v_vel!H15^2))</f>
        <v/>
      </c>
      <c r="I15" s="16">
        <f>IF(Mask!I15=1,"",SQRT(u_vel!I15^2+v_vel!I15^2))</f>
        <v/>
      </c>
      <c r="J15" s="16">
        <f>IF(Mask!J15=1,"",SQRT(u_vel!J15^2+v_vel!J15^2))</f>
        <v/>
      </c>
      <c r="K15" s="16">
        <f>IF(Mask!K15=1,"",SQRT(u_vel!K15^2+v_vel!K15^2))</f>
        <v/>
      </c>
      <c r="L15" s="16">
        <f>IF(Mask!L15=1,"",SQRT(u_vel!L15^2+v_vel!L15^2))</f>
        <v/>
      </c>
      <c r="M15" s="16">
        <f>IF(Mask!M15=1,"",SQRT(u_vel!M15^2+v_vel!M15^2))</f>
        <v/>
      </c>
      <c r="N15" s="16">
        <f>IF(Mask!N15=1,"",SQRT(u_vel!N15^2+v_vel!N15^2))</f>
        <v/>
      </c>
      <c r="O15" s="16">
        <f>IF(Mask!O15=1,"",SQRT(u_vel!O15^2+v_vel!O15^2))</f>
        <v/>
      </c>
      <c r="P15" s="16">
        <f>IF(Mask!P15=1,"",SQRT(u_vel!P15^2+v_vel!P15^2))</f>
        <v/>
      </c>
      <c r="Q15" s="16">
        <f>IF(Mask!Q15=1,"",SQRT(u_vel!Q15^2+v_vel!Q15^2))</f>
        <v/>
      </c>
      <c r="R15" s="16">
        <f>IF(Mask!R15=1,"",SQRT(u_vel!R15^2+v_vel!R15^2))</f>
        <v/>
      </c>
      <c r="S15" s="16">
        <f>IF(Mask!S15=1,"",SQRT(u_vel!S15^2+v_vel!S15^2))</f>
        <v/>
      </c>
      <c r="T15" s="16">
        <f>IF(Mask!T15=1,"",SQRT(u_vel!T15^2+v_vel!T15^2))</f>
        <v/>
      </c>
      <c r="U15" s="16">
        <f>IF(Mask!U15=1,"",SQRT(u_vel!U15^2+v_vel!U15^2))</f>
        <v/>
      </c>
      <c r="V15" s="16">
        <f>IF(Mask!V15=1,"",SQRT(u_vel!V15^2+v_vel!V15^2))</f>
        <v/>
      </c>
      <c r="W15" s="16">
        <f>IF(Mask!W15=1,"",SQRT(u_vel!W15^2+v_vel!W15^2))</f>
        <v/>
      </c>
      <c r="X15" s="16">
        <f>IF(Mask!X15=1,"",SQRT(u_vel!X15^2+v_vel!X15^2))</f>
        <v/>
      </c>
      <c r="Y15" s="16">
        <f>IF(Mask!Y15=1,"",SQRT(u_vel!Y15^2+v_vel!Y15^2))</f>
        <v/>
      </c>
      <c r="Z15" s="16">
        <f>IF(Mask!Z15=1,"",SQRT(u_vel!Z15^2+v_vel!Z15^2))</f>
        <v/>
      </c>
      <c r="AA15" s="16">
        <f>IF(Mask!AA15=1,"",SQRT(u_vel!AA15^2+v_vel!AA15^2))</f>
        <v/>
      </c>
      <c r="AB15" s="16">
        <f>IF(Mask!AB15=1,"",SQRT(u_vel!AB15^2+v_vel!AB15^2))</f>
        <v/>
      </c>
      <c r="AC15" s="16">
        <f>IF(Mask!AC15=1,"",SQRT(u_vel!AC15^2+v_vel!AC15^2))</f>
        <v/>
      </c>
      <c r="AD15" s="16">
        <f>IF(Mask!AD15=1,"",SQRT(u_vel!AD15^2+v_vel!AD15^2))</f>
        <v/>
      </c>
      <c r="AE15" s="16">
        <f>IF(Mask!AE15=1,"",SQRT(u_vel!AE15^2+v_vel!AE15^2))</f>
        <v/>
      </c>
      <c r="AF15" s="16">
        <f>IF(Mask!AF15=1,"",SQRT(u_vel!AF15^2+v_vel!AF15^2))</f>
        <v/>
      </c>
      <c r="AG15" s="16">
        <f>IF(Mask!AG15=1,"",SQRT(u_vel!AG15^2+v_vel!AG15^2))</f>
        <v/>
      </c>
      <c r="AH15" s="16">
        <f>IF(Mask!AH15=1,"",SQRT(u_vel!AH15^2+v_vel!AH15^2))</f>
        <v/>
      </c>
      <c r="AI15" s="16">
        <f>IF(Mask!AI15=1,"",SQRT(u_vel!AI15^2+v_vel!AI15^2))</f>
        <v/>
      </c>
      <c r="AJ15" s="16">
        <f>IF(Mask!AJ15=1,"",SQRT(u_vel!AJ15^2+v_vel!AJ15^2))</f>
        <v/>
      </c>
      <c r="AK15" s="16">
        <f>IF(Mask!AK15=1,"",SQRT(u_vel!AK15^2+v_vel!AK15^2))</f>
        <v/>
      </c>
      <c r="AL15" s="16">
        <f>IF(Mask!AL15=1,"",SQRT(u_vel!AL15^2+v_vel!AL15^2))</f>
        <v/>
      </c>
      <c r="AM15" s="16">
        <f>IF(Mask!AM15=1,"",SQRT(u_vel!AM15^2+v_vel!AM15^2))</f>
        <v/>
      </c>
      <c r="AN15" s="16">
        <f>IF(Mask!AN15=1,"",SQRT(u_vel!AN15^2+v_vel!AN15^2))</f>
        <v/>
      </c>
      <c r="AO15" s="16">
        <f>IF(Mask!AO15=1,"",SQRT(u_vel!AO15^2+v_vel!AO15^2))</f>
        <v/>
      </c>
      <c r="AP15" s="16">
        <f>IF(Mask!AP15=1,"",SQRT(u_vel!AP15^2+v_vel!AP15^2))</f>
        <v/>
      </c>
    </row>
    <row r="16">
      <c r="A16" s="7">
        <f>A15-p_h</f>
        <v/>
      </c>
      <c r="B16" s="16">
        <f>IF(Mask!B16=1,"",SQRT(u_vel!B16^2+v_vel!B16^2))</f>
        <v/>
      </c>
      <c r="C16" s="16">
        <f>IF(Mask!C16=1,"",SQRT(u_vel!C16^2+v_vel!C16^2))</f>
        <v/>
      </c>
      <c r="D16" s="16">
        <f>IF(Mask!D16=1,"",SQRT(u_vel!D16^2+v_vel!D16^2))</f>
        <v/>
      </c>
      <c r="E16" s="16">
        <f>IF(Mask!E16=1,"",SQRT(u_vel!E16^2+v_vel!E16^2))</f>
        <v/>
      </c>
      <c r="F16" s="16">
        <f>IF(Mask!F16=1,"",SQRT(u_vel!F16^2+v_vel!F16^2))</f>
        <v/>
      </c>
      <c r="G16" s="16">
        <f>IF(Mask!G16=1,"",SQRT(u_vel!G16^2+v_vel!G16^2))</f>
        <v/>
      </c>
      <c r="H16" s="16">
        <f>IF(Mask!H16=1,"",SQRT(u_vel!H16^2+v_vel!H16^2))</f>
        <v/>
      </c>
      <c r="I16" s="16">
        <f>IF(Mask!I16=1,"",SQRT(u_vel!I16^2+v_vel!I16^2))</f>
        <v/>
      </c>
      <c r="J16" s="16">
        <f>IF(Mask!J16=1,"",SQRT(u_vel!J16^2+v_vel!J16^2))</f>
        <v/>
      </c>
      <c r="K16" s="16">
        <f>IF(Mask!K16=1,"",SQRT(u_vel!K16^2+v_vel!K16^2))</f>
        <v/>
      </c>
      <c r="L16" s="16">
        <f>IF(Mask!L16=1,"",SQRT(u_vel!L16^2+v_vel!L16^2))</f>
        <v/>
      </c>
      <c r="M16" s="16">
        <f>IF(Mask!M16=1,"",SQRT(u_vel!M16^2+v_vel!M16^2))</f>
        <v/>
      </c>
      <c r="N16" s="16">
        <f>IF(Mask!N16=1,"",SQRT(u_vel!N16^2+v_vel!N16^2))</f>
        <v/>
      </c>
      <c r="O16" s="16">
        <f>IF(Mask!O16=1,"",SQRT(u_vel!O16^2+v_vel!O16^2))</f>
        <v/>
      </c>
      <c r="P16" s="16">
        <f>IF(Mask!P16=1,"",SQRT(u_vel!P16^2+v_vel!P16^2))</f>
        <v/>
      </c>
      <c r="Q16" s="16">
        <f>IF(Mask!Q16=1,"",SQRT(u_vel!Q16^2+v_vel!Q16^2))</f>
        <v/>
      </c>
      <c r="R16" s="16">
        <f>IF(Mask!R16=1,"",SQRT(u_vel!R16^2+v_vel!R16^2))</f>
        <v/>
      </c>
      <c r="S16" s="16">
        <f>IF(Mask!S16=1,"",SQRT(u_vel!S16^2+v_vel!S16^2))</f>
        <v/>
      </c>
      <c r="T16" s="16">
        <f>IF(Mask!T16=1,"",SQRT(u_vel!T16^2+v_vel!T16^2))</f>
        <v/>
      </c>
      <c r="U16" s="16">
        <f>IF(Mask!U16=1,"",SQRT(u_vel!U16^2+v_vel!U16^2))</f>
        <v/>
      </c>
      <c r="V16" s="16">
        <f>IF(Mask!V16=1,"",SQRT(u_vel!V16^2+v_vel!V16^2))</f>
        <v/>
      </c>
      <c r="W16" s="16">
        <f>IF(Mask!W16=1,"",SQRT(u_vel!W16^2+v_vel!W16^2))</f>
        <v/>
      </c>
      <c r="X16" s="16">
        <f>IF(Mask!X16=1,"",SQRT(u_vel!X16^2+v_vel!X16^2))</f>
        <v/>
      </c>
      <c r="Y16" s="16">
        <f>IF(Mask!Y16=1,"",SQRT(u_vel!Y16^2+v_vel!Y16^2))</f>
        <v/>
      </c>
      <c r="Z16" s="16">
        <f>IF(Mask!Z16=1,"",SQRT(u_vel!Z16^2+v_vel!Z16^2))</f>
        <v/>
      </c>
      <c r="AA16" s="16">
        <f>IF(Mask!AA16=1,"",SQRT(u_vel!AA16^2+v_vel!AA16^2))</f>
        <v/>
      </c>
      <c r="AB16" s="16">
        <f>IF(Mask!AB16=1,"",SQRT(u_vel!AB16^2+v_vel!AB16^2))</f>
        <v/>
      </c>
      <c r="AC16" s="16">
        <f>IF(Mask!AC16=1,"",SQRT(u_vel!AC16^2+v_vel!AC16^2))</f>
        <v/>
      </c>
      <c r="AD16" s="16">
        <f>IF(Mask!AD16=1,"",SQRT(u_vel!AD16^2+v_vel!AD16^2))</f>
        <v/>
      </c>
      <c r="AE16" s="16">
        <f>IF(Mask!AE16=1,"",SQRT(u_vel!AE16^2+v_vel!AE16^2))</f>
        <v/>
      </c>
      <c r="AF16" s="16">
        <f>IF(Mask!AF16=1,"",SQRT(u_vel!AF16^2+v_vel!AF16^2))</f>
        <v/>
      </c>
      <c r="AG16" s="16">
        <f>IF(Mask!AG16=1,"",SQRT(u_vel!AG16^2+v_vel!AG16^2))</f>
        <v/>
      </c>
      <c r="AH16" s="16">
        <f>IF(Mask!AH16=1,"",SQRT(u_vel!AH16^2+v_vel!AH16^2))</f>
        <v/>
      </c>
      <c r="AI16" s="16">
        <f>IF(Mask!AI16=1,"",SQRT(u_vel!AI16^2+v_vel!AI16^2))</f>
        <v/>
      </c>
      <c r="AJ16" s="16">
        <f>IF(Mask!AJ16=1,"",SQRT(u_vel!AJ16^2+v_vel!AJ16^2))</f>
        <v/>
      </c>
      <c r="AK16" s="16">
        <f>IF(Mask!AK16=1,"",SQRT(u_vel!AK16^2+v_vel!AK16^2))</f>
        <v/>
      </c>
      <c r="AL16" s="16">
        <f>IF(Mask!AL16=1,"",SQRT(u_vel!AL16^2+v_vel!AL16^2))</f>
        <v/>
      </c>
      <c r="AM16" s="16">
        <f>IF(Mask!AM16=1,"",SQRT(u_vel!AM16^2+v_vel!AM16^2))</f>
        <v/>
      </c>
      <c r="AN16" s="16">
        <f>IF(Mask!AN16=1,"",SQRT(u_vel!AN16^2+v_vel!AN16^2))</f>
        <v/>
      </c>
      <c r="AO16" s="16">
        <f>IF(Mask!AO16=1,"",SQRT(u_vel!AO16^2+v_vel!AO16^2))</f>
        <v/>
      </c>
      <c r="AP16" s="16">
        <f>IF(Mask!AP16=1,"",SQRT(u_vel!AP16^2+v_vel!AP16^2))</f>
        <v/>
      </c>
    </row>
    <row r="17">
      <c r="A17" s="7">
        <f>A16-p_h</f>
        <v/>
      </c>
      <c r="B17" s="16">
        <f>IF(Mask!B17=1,"",SQRT(u_vel!B17^2+v_vel!B17^2))</f>
        <v/>
      </c>
      <c r="C17" s="16">
        <f>IF(Mask!C17=1,"",SQRT(u_vel!C17^2+v_vel!C17^2))</f>
        <v/>
      </c>
      <c r="D17" s="16">
        <f>IF(Mask!D17=1,"",SQRT(u_vel!D17^2+v_vel!D17^2))</f>
        <v/>
      </c>
      <c r="E17" s="16">
        <f>IF(Mask!E17=1,"",SQRT(u_vel!E17^2+v_vel!E17^2))</f>
        <v/>
      </c>
      <c r="F17" s="16">
        <f>IF(Mask!F17=1,"",SQRT(u_vel!F17^2+v_vel!F17^2))</f>
        <v/>
      </c>
      <c r="G17" s="16">
        <f>IF(Mask!G17=1,"",SQRT(u_vel!G17^2+v_vel!G17^2))</f>
        <v/>
      </c>
      <c r="H17" s="16">
        <f>IF(Mask!H17=1,"",SQRT(u_vel!H17^2+v_vel!H17^2))</f>
        <v/>
      </c>
      <c r="I17" s="16">
        <f>IF(Mask!I17=1,"",SQRT(u_vel!I17^2+v_vel!I17^2))</f>
        <v/>
      </c>
      <c r="J17" s="16">
        <f>IF(Mask!J17=1,"",SQRT(u_vel!J17^2+v_vel!J17^2))</f>
        <v/>
      </c>
      <c r="K17" s="16">
        <f>IF(Mask!K17=1,"",SQRT(u_vel!K17^2+v_vel!K17^2))</f>
        <v/>
      </c>
      <c r="L17" s="16">
        <f>IF(Mask!L17=1,"",SQRT(u_vel!L17^2+v_vel!L17^2))</f>
        <v/>
      </c>
      <c r="M17" s="16">
        <f>IF(Mask!M17=1,"",SQRT(u_vel!M17^2+v_vel!M17^2))</f>
        <v/>
      </c>
      <c r="N17" s="16">
        <f>IF(Mask!N17=1,"",SQRT(u_vel!N17^2+v_vel!N17^2))</f>
        <v/>
      </c>
      <c r="O17" s="16">
        <f>IF(Mask!O17=1,"",SQRT(u_vel!O17^2+v_vel!O17^2))</f>
        <v/>
      </c>
      <c r="P17" s="16">
        <f>IF(Mask!P17=1,"",SQRT(u_vel!P17^2+v_vel!P17^2))</f>
        <v/>
      </c>
      <c r="Q17" s="16">
        <f>IF(Mask!Q17=1,"",SQRT(u_vel!Q17^2+v_vel!Q17^2))</f>
        <v/>
      </c>
      <c r="R17" s="16">
        <f>IF(Mask!R17=1,"",SQRT(u_vel!R17^2+v_vel!R17^2))</f>
        <v/>
      </c>
      <c r="S17" s="16">
        <f>IF(Mask!S17=1,"",SQRT(u_vel!S17^2+v_vel!S17^2))</f>
        <v/>
      </c>
      <c r="T17" s="16">
        <f>IF(Mask!T17=1,"",SQRT(u_vel!T17^2+v_vel!T17^2))</f>
        <v/>
      </c>
      <c r="U17" s="16">
        <f>IF(Mask!U17=1,"",SQRT(u_vel!U17^2+v_vel!U17^2))</f>
        <v/>
      </c>
      <c r="V17" s="16">
        <f>IF(Mask!V17=1,"",SQRT(u_vel!V17^2+v_vel!V17^2))</f>
        <v/>
      </c>
      <c r="W17" s="16">
        <f>IF(Mask!W17=1,"",SQRT(u_vel!W17^2+v_vel!W17^2))</f>
        <v/>
      </c>
      <c r="X17" s="16">
        <f>IF(Mask!X17=1,"",SQRT(u_vel!X17^2+v_vel!X17^2))</f>
        <v/>
      </c>
      <c r="Y17" s="16">
        <f>IF(Mask!Y17=1,"",SQRT(u_vel!Y17^2+v_vel!Y17^2))</f>
        <v/>
      </c>
      <c r="Z17" s="16">
        <f>IF(Mask!Z17=1,"",SQRT(u_vel!Z17^2+v_vel!Z17^2))</f>
        <v/>
      </c>
      <c r="AA17" s="16">
        <f>IF(Mask!AA17=1,"",SQRT(u_vel!AA17^2+v_vel!AA17^2))</f>
        <v/>
      </c>
      <c r="AB17" s="16">
        <f>IF(Mask!AB17=1,"",SQRT(u_vel!AB17^2+v_vel!AB17^2))</f>
        <v/>
      </c>
      <c r="AC17" s="16">
        <f>IF(Mask!AC17=1,"",SQRT(u_vel!AC17^2+v_vel!AC17^2))</f>
        <v/>
      </c>
      <c r="AD17" s="16">
        <f>IF(Mask!AD17=1,"",SQRT(u_vel!AD17^2+v_vel!AD17^2))</f>
        <v/>
      </c>
      <c r="AE17" s="16">
        <f>IF(Mask!AE17=1,"",SQRT(u_vel!AE17^2+v_vel!AE17^2))</f>
        <v/>
      </c>
      <c r="AF17" s="16">
        <f>IF(Mask!AF17=1,"",SQRT(u_vel!AF17^2+v_vel!AF17^2))</f>
        <v/>
      </c>
      <c r="AG17" s="16">
        <f>IF(Mask!AG17=1,"",SQRT(u_vel!AG17^2+v_vel!AG17^2))</f>
        <v/>
      </c>
      <c r="AH17" s="16">
        <f>IF(Mask!AH17=1,"",SQRT(u_vel!AH17^2+v_vel!AH17^2))</f>
        <v/>
      </c>
      <c r="AI17" s="16">
        <f>IF(Mask!AI17=1,"",SQRT(u_vel!AI17^2+v_vel!AI17^2))</f>
        <v/>
      </c>
      <c r="AJ17" s="16">
        <f>IF(Mask!AJ17=1,"",SQRT(u_vel!AJ17^2+v_vel!AJ17^2))</f>
        <v/>
      </c>
      <c r="AK17" s="16">
        <f>IF(Mask!AK17=1,"",SQRT(u_vel!AK17^2+v_vel!AK17^2))</f>
        <v/>
      </c>
      <c r="AL17" s="16">
        <f>IF(Mask!AL17=1,"",SQRT(u_vel!AL17^2+v_vel!AL17^2))</f>
        <v/>
      </c>
      <c r="AM17" s="16">
        <f>IF(Mask!AM17=1,"",SQRT(u_vel!AM17^2+v_vel!AM17^2))</f>
        <v/>
      </c>
      <c r="AN17" s="16">
        <f>IF(Mask!AN17=1,"",SQRT(u_vel!AN17^2+v_vel!AN17^2))</f>
        <v/>
      </c>
      <c r="AO17" s="16">
        <f>IF(Mask!AO17=1,"",SQRT(u_vel!AO17^2+v_vel!AO17^2))</f>
        <v/>
      </c>
      <c r="AP17" s="16">
        <f>IF(Mask!AP17=1,"",SQRT(u_vel!AP17^2+v_vel!AP17^2))</f>
        <v/>
      </c>
    </row>
    <row r="18">
      <c r="A18" s="7">
        <f>A17-p_h</f>
        <v/>
      </c>
      <c r="B18" s="16">
        <f>IF(Mask!B18=1,"",SQRT(u_vel!B18^2+v_vel!B18^2))</f>
        <v/>
      </c>
      <c r="C18" s="16">
        <f>IF(Mask!C18=1,"",SQRT(u_vel!C18^2+v_vel!C18^2))</f>
        <v/>
      </c>
      <c r="D18" s="16">
        <f>IF(Mask!D18=1,"",SQRT(u_vel!D18^2+v_vel!D18^2))</f>
        <v/>
      </c>
      <c r="E18" s="16">
        <f>IF(Mask!E18=1,"",SQRT(u_vel!E18^2+v_vel!E18^2))</f>
        <v/>
      </c>
      <c r="F18" s="16">
        <f>IF(Mask!F18=1,"",SQRT(u_vel!F18^2+v_vel!F18^2))</f>
        <v/>
      </c>
      <c r="G18" s="16">
        <f>IF(Mask!G18=1,"",SQRT(u_vel!G18^2+v_vel!G18^2))</f>
        <v/>
      </c>
      <c r="H18" s="16">
        <f>IF(Mask!H18=1,"",SQRT(u_vel!H18^2+v_vel!H18^2))</f>
        <v/>
      </c>
      <c r="I18" s="16">
        <f>IF(Mask!I18=1,"",SQRT(u_vel!I18^2+v_vel!I18^2))</f>
        <v/>
      </c>
      <c r="J18" s="16">
        <f>IF(Mask!J18=1,"",SQRT(u_vel!J18^2+v_vel!J18^2))</f>
        <v/>
      </c>
      <c r="K18" s="16">
        <f>IF(Mask!K18=1,"",SQRT(u_vel!K18^2+v_vel!K18^2))</f>
        <v/>
      </c>
      <c r="L18" s="16">
        <f>IF(Mask!L18=1,"",SQRT(u_vel!L18^2+v_vel!L18^2))</f>
        <v/>
      </c>
      <c r="M18" s="16">
        <f>IF(Mask!M18=1,"",SQRT(u_vel!M18^2+v_vel!M18^2))</f>
        <v/>
      </c>
      <c r="N18" s="16">
        <f>IF(Mask!N18=1,"",SQRT(u_vel!N18^2+v_vel!N18^2))</f>
        <v/>
      </c>
      <c r="O18" s="16">
        <f>IF(Mask!O18=1,"",SQRT(u_vel!O18^2+v_vel!O18^2))</f>
        <v/>
      </c>
      <c r="P18" s="16">
        <f>IF(Mask!P18=1,"",SQRT(u_vel!P18^2+v_vel!P18^2))</f>
        <v/>
      </c>
      <c r="Q18" s="16">
        <f>IF(Mask!Q18=1,"",SQRT(u_vel!Q18^2+v_vel!Q18^2))</f>
        <v/>
      </c>
      <c r="R18" s="16">
        <f>IF(Mask!R18=1,"",SQRT(u_vel!R18^2+v_vel!R18^2))</f>
        <v/>
      </c>
      <c r="S18" s="16">
        <f>IF(Mask!S18=1,"",SQRT(u_vel!S18^2+v_vel!S18^2))</f>
        <v/>
      </c>
      <c r="T18" s="16">
        <f>IF(Mask!T18=1,"",SQRT(u_vel!T18^2+v_vel!T18^2))</f>
        <v/>
      </c>
      <c r="U18" s="16">
        <f>IF(Mask!U18=1,"",SQRT(u_vel!U18^2+v_vel!U18^2))</f>
        <v/>
      </c>
      <c r="V18" s="16">
        <f>IF(Mask!V18=1,"",SQRT(u_vel!V18^2+v_vel!V18^2))</f>
        <v/>
      </c>
      <c r="W18" s="16">
        <f>IF(Mask!W18=1,"",SQRT(u_vel!W18^2+v_vel!W18^2))</f>
        <v/>
      </c>
      <c r="X18" s="16">
        <f>IF(Mask!X18=1,"",SQRT(u_vel!X18^2+v_vel!X18^2))</f>
        <v/>
      </c>
      <c r="Y18" s="16">
        <f>IF(Mask!Y18=1,"",SQRT(u_vel!Y18^2+v_vel!Y18^2))</f>
        <v/>
      </c>
      <c r="Z18" s="16">
        <f>IF(Mask!Z18=1,"",SQRT(u_vel!Z18^2+v_vel!Z18^2))</f>
        <v/>
      </c>
      <c r="AA18" s="16">
        <f>IF(Mask!AA18=1,"",SQRT(u_vel!AA18^2+v_vel!AA18^2))</f>
        <v/>
      </c>
      <c r="AB18" s="16">
        <f>IF(Mask!AB18=1,"",SQRT(u_vel!AB18^2+v_vel!AB18^2))</f>
        <v/>
      </c>
      <c r="AC18" s="16">
        <f>IF(Mask!AC18=1,"",SQRT(u_vel!AC18^2+v_vel!AC18^2))</f>
        <v/>
      </c>
      <c r="AD18" s="16">
        <f>IF(Mask!AD18=1,"",SQRT(u_vel!AD18^2+v_vel!AD18^2))</f>
        <v/>
      </c>
      <c r="AE18" s="16">
        <f>IF(Mask!AE18=1,"",SQRT(u_vel!AE18^2+v_vel!AE18^2))</f>
        <v/>
      </c>
      <c r="AF18" s="16">
        <f>IF(Mask!AF18=1,"",SQRT(u_vel!AF18^2+v_vel!AF18^2))</f>
        <v/>
      </c>
      <c r="AG18" s="16">
        <f>IF(Mask!AG18=1,"",SQRT(u_vel!AG18^2+v_vel!AG18^2))</f>
        <v/>
      </c>
      <c r="AH18" s="16">
        <f>IF(Mask!AH18=1,"",SQRT(u_vel!AH18^2+v_vel!AH18^2))</f>
        <v/>
      </c>
      <c r="AI18" s="16">
        <f>IF(Mask!AI18=1,"",SQRT(u_vel!AI18^2+v_vel!AI18^2))</f>
        <v/>
      </c>
      <c r="AJ18" s="16">
        <f>IF(Mask!AJ18=1,"",SQRT(u_vel!AJ18^2+v_vel!AJ18^2))</f>
        <v/>
      </c>
      <c r="AK18" s="16">
        <f>IF(Mask!AK18=1,"",SQRT(u_vel!AK18^2+v_vel!AK18^2))</f>
        <v/>
      </c>
      <c r="AL18" s="16">
        <f>IF(Mask!AL18=1,"",SQRT(u_vel!AL18^2+v_vel!AL18^2))</f>
        <v/>
      </c>
      <c r="AM18" s="16">
        <f>IF(Mask!AM18=1,"",SQRT(u_vel!AM18^2+v_vel!AM18^2))</f>
        <v/>
      </c>
      <c r="AN18" s="16">
        <f>IF(Mask!AN18=1,"",SQRT(u_vel!AN18^2+v_vel!AN18^2))</f>
        <v/>
      </c>
      <c r="AO18" s="16">
        <f>IF(Mask!AO18=1,"",SQRT(u_vel!AO18^2+v_vel!AO18^2))</f>
        <v/>
      </c>
      <c r="AP18" s="16">
        <f>IF(Mask!AP18=1,"",SQRT(u_vel!AP18^2+v_vel!AP18^2))</f>
        <v/>
      </c>
    </row>
    <row r="19">
      <c r="A19" s="7">
        <f>A18-p_h</f>
        <v/>
      </c>
      <c r="B19" s="16">
        <f>IF(Mask!B19=1,"",SQRT(u_vel!B19^2+v_vel!B19^2))</f>
        <v/>
      </c>
      <c r="C19" s="16">
        <f>IF(Mask!C19=1,"",SQRT(u_vel!C19^2+v_vel!C19^2))</f>
        <v/>
      </c>
      <c r="D19" s="16">
        <f>IF(Mask!D19=1,"",SQRT(u_vel!D19^2+v_vel!D19^2))</f>
        <v/>
      </c>
      <c r="E19" s="16">
        <f>IF(Mask!E19=1,"",SQRT(u_vel!E19^2+v_vel!E19^2))</f>
        <v/>
      </c>
      <c r="F19" s="16">
        <f>IF(Mask!F19=1,"",SQRT(u_vel!F19^2+v_vel!F19^2))</f>
        <v/>
      </c>
      <c r="G19" s="16">
        <f>IF(Mask!G19=1,"",SQRT(u_vel!G19^2+v_vel!G19^2))</f>
        <v/>
      </c>
      <c r="H19" s="16">
        <f>IF(Mask!H19=1,"",SQRT(u_vel!H19^2+v_vel!H19^2))</f>
        <v/>
      </c>
      <c r="I19" s="16">
        <f>IF(Mask!I19=1,"",SQRT(u_vel!I19^2+v_vel!I19^2))</f>
        <v/>
      </c>
      <c r="J19" s="16">
        <f>IF(Mask!J19=1,"",SQRT(u_vel!J19^2+v_vel!J19^2))</f>
        <v/>
      </c>
      <c r="K19" s="16">
        <f>IF(Mask!K19=1,"",SQRT(u_vel!K19^2+v_vel!K19^2))</f>
        <v/>
      </c>
      <c r="L19" s="16">
        <f>IF(Mask!L19=1,"",SQRT(u_vel!L19^2+v_vel!L19^2))</f>
        <v/>
      </c>
      <c r="M19" s="16">
        <f>IF(Mask!M19=1,"",SQRT(u_vel!M19^2+v_vel!M19^2))</f>
        <v/>
      </c>
      <c r="N19" s="16">
        <f>IF(Mask!N19=1,"",SQRT(u_vel!N19^2+v_vel!N19^2))</f>
        <v/>
      </c>
      <c r="O19" s="16">
        <f>IF(Mask!O19=1,"",SQRT(u_vel!O19^2+v_vel!O19^2))</f>
        <v/>
      </c>
      <c r="P19" s="16">
        <f>IF(Mask!P19=1,"",SQRT(u_vel!P19^2+v_vel!P19^2))</f>
        <v/>
      </c>
      <c r="Q19" s="16">
        <f>IF(Mask!Q19=1,"",SQRT(u_vel!Q19^2+v_vel!Q19^2))</f>
        <v/>
      </c>
      <c r="R19" s="16">
        <f>IF(Mask!R19=1,"",SQRT(u_vel!R19^2+v_vel!R19^2))</f>
        <v/>
      </c>
      <c r="S19" s="16">
        <f>IF(Mask!S19=1,"",SQRT(u_vel!S19^2+v_vel!S19^2))</f>
        <v/>
      </c>
      <c r="T19" s="16">
        <f>IF(Mask!T19=1,"",SQRT(u_vel!T19^2+v_vel!T19^2))</f>
        <v/>
      </c>
      <c r="U19" s="16">
        <f>IF(Mask!U19=1,"",SQRT(u_vel!U19^2+v_vel!U19^2))</f>
        <v/>
      </c>
      <c r="V19" s="16">
        <f>IF(Mask!V19=1,"",SQRT(u_vel!V19^2+v_vel!V19^2))</f>
        <v/>
      </c>
      <c r="W19" s="16">
        <f>IF(Mask!W19=1,"",SQRT(u_vel!W19^2+v_vel!W19^2))</f>
        <v/>
      </c>
      <c r="X19" s="16">
        <f>IF(Mask!X19=1,"",SQRT(u_vel!X19^2+v_vel!X19^2))</f>
        <v/>
      </c>
      <c r="Y19" s="16">
        <f>IF(Mask!Y19=1,"",SQRT(u_vel!Y19^2+v_vel!Y19^2))</f>
        <v/>
      </c>
      <c r="Z19" s="16">
        <f>IF(Mask!Z19=1,"",SQRT(u_vel!Z19^2+v_vel!Z19^2))</f>
        <v/>
      </c>
      <c r="AA19" s="16">
        <f>IF(Mask!AA19=1,"",SQRT(u_vel!AA19^2+v_vel!AA19^2))</f>
        <v/>
      </c>
      <c r="AB19" s="16">
        <f>IF(Mask!AB19=1,"",SQRT(u_vel!AB19^2+v_vel!AB19^2))</f>
        <v/>
      </c>
      <c r="AC19" s="16">
        <f>IF(Mask!AC19=1,"",SQRT(u_vel!AC19^2+v_vel!AC19^2))</f>
        <v/>
      </c>
      <c r="AD19" s="16">
        <f>IF(Mask!AD19=1,"",SQRT(u_vel!AD19^2+v_vel!AD19^2))</f>
        <v/>
      </c>
      <c r="AE19" s="16">
        <f>IF(Mask!AE19=1,"",SQRT(u_vel!AE19^2+v_vel!AE19^2))</f>
        <v/>
      </c>
      <c r="AF19" s="16">
        <f>IF(Mask!AF19=1,"",SQRT(u_vel!AF19^2+v_vel!AF19^2))</f>
        <v/>
      </c>
      <c r="AG19" s="16">
        <f>IF(Mask!AG19=1,"",SQRT(u_vel!AG19^2+v_vel!AG19^2))</f>
        <v/>
      </c>
      <c r="AH19" s="16">
        <f>IF(Mask!AH19=1,"",SQRT(u_vel!AH19^2+v_vel!AH19^2))</f>
        <v/>
      </c>
      <c r="AI19" s="16">
        <f>IF(Mask!AI19=1,"",SQRT(u_vel!AI19^2+v_vel!AI19^2))</f>
        <v/>
      </c>
      <c r="AJ19" s="16">
        <f>IF(Mask!AJ19=1,"",SQRT(u_vel!AJ19^2+v_vel!AJ19^2))</f>
        <v/>
      </c>
      <c r="AK19" s="16">
        <f>IF(Mask!AK19=1,"",SQRT(u_vel!AK19^2+v_vel!AK19^2))</f>
        <v/>
      </c>
      <c r="AL19" s="16">
        <f>IF(Mask!AL19=1,"",SQRT(u_vel!AL19^2+v_vel!AL19^2))</f>
        <v/>
      </c>
      <c r="AM19" s="16">
        <f>IF(Mask!AM19=1,"",SQRT(u_vel!AM19^2+v_vel!AM19^2))</f>
        <v/>
      </c>
      <c r="AN19" s="16">
        <f>IF(Mask!AN19=1,"",SQRT(u_vel!AN19^2+v_vel!AN19^2))</f>
        <v/>
      </c>
      <c r="AO19" s="16">
        <f>IF(Mask!AO19=1,"",SQRT(u_vel!AO19^2+v_vel!AO19^2))</f>
        <v/>
      </c>
      <c r="AP19" s="16">
        <f>IF(Mask!AP19=1,"",SQRT(u_vel!AP19^2+v_vel!AP19^2))</f>
        <v/>
      </c>
    </row>
    <row r="20">
      <c r="A20" s="7">
        <f>A19-p_h</f>
        <v/>
      </c>
      <c r="B20" s="16">
        <f>IF(Mask!B20=1,"",SQRT(u_vel!B20^2+v_vel!B20^2))</f>
        <v/>
      </c>
      <c r="C20" s="16">
        <f>IF(Mask!C20=1,"",SQRT(u_vel!C20^2+v_vel!C20^2))</f>
        <v/>
      </c>
      <c r="D20" s="16">
        <f>IF(Mask!D20=1,"",SQRT(u_vel!D20^2+v_vel!D20^2))</f>
        <v/>
      </c>
      <c r="E20" s="16">
        <f>IF(Mask!E20=1,"",SQRT(u_vel!E20^2+v_vel!E20^2))</f>
        <v/>
      </c>
      <c r="F20" s="16">
        <f>IF(Mask!F20=1,"",SQRT(u_vel!F20^2+v_vel!F20^2))</f>
        <v/>
      </c>
      <c r="G20" s="16">
        <f>IF(Mask!G20=1,"",SQRT(u_vel!G20^2+v_vel!G20^2))</f>
        <v/>
      </c>
      <c r="H20" s="16">
        <f>IF(Mask!H20=1,"",SQRT(u_vel!H20^2+v_vel!H20^2))</f>
        <v/>
      </c>
      <c r="I20" s="16">
        <f>IF(Mask!I20=1,"",SQRT(u_vel!I20^2+v_vel!I20^2))</f>
        <v/>
      </c>
      <c r="J20" s="16">
        <f>IF(Mask!J20=1,"",SQRT(u_vel!J20^2+v_vel!J20^2))</f>
        <v/>
      </c>
      <c r="K20" s="16">
        <f>IF(Mask!K20=1,"",SQRT(u_vel!K20^2+v_vel!K20^2))</f>
        <v/>
      </c>
      <c r="L20" s="16">
        <f>IF(Mask!L20=1,"",SQRT(u_vel!L20^2+v_vel!L20^2))</f>
        <v/>
      </c>
      <c r="M20" s="16">
        <f>IF(Mask!M20=1,"",SQRT(u_vel!M20^2+v_vel!M20^2))</f>
        <v/>
      </c>
      <c r="N20" s="16">
        <f>IF(Mask!N20=1,"",SQRT(u_vel!N20^2+v_vel!N20^2))</f>
        <v/>
      </c>
      <c r="O20" s="16">
        <f>IF(Mask!O20=1,"",SQRT(u_vel!O20^2+v_vel!O20^2))</f>
        <v/>
      </c>
      <c r="P20" s="16">
        <f>IF(Mask!P20=1,"",SQRT(u_vel!P20^2+v_vel!P20^2))</f>
        <v/>
      </c>
      <c r="Q20" s="16">
        <f>IF(Mask!Q20=1,"",SQRT(u_vel!Q20^2+v_vel!Q20^2))</f>
        <v/>
      </c>
      <c r="R20" s="16">
        <f>IF(Mask!R20=1,"",SQRT(u_vel!R20^2+v_vel!R20^2))</f>
        <v/>
      </c>
      <c r="S20" s="16">
        <f>IF(Mask!S20=1,"",SQRT(u_vel!S20^2+v_vel!S20^2))</f>
        <v/>
      </c>
      <c r="T20" s="16">
        <f>IF(Mask!T20=1,"",SQRT(u_vel!T20^2+v_vel!T20^2))</f>
        <v/>
      </c>
      <c r="U20" s="16">
        <f>IF(Mask!U20=1,"",SQRT(u_vel!U20^2+v_vel!U20^2))</f>
        <v/>
      </c>
      <c r="V20" s="16">
        <f>IF(Mask!V20=1,"",SQRT(u_vel!V20^2+v_vel!V20^2))</f>
        <v/>
      </c>
      <c r="W20" s="16">
        <f>IF(Mask!W20=1,"",SQRT(u_vel!W20^2+v_vel!W20^2))</f>
        <v/>
      </c>
      <c r="X20" s="16">
        <f>IF(Mask!X20=1,"",SQRT(u_vel!X20^2+v_vel!X20^2))</f>
        <v/>
      </c>
      <c r="Y20" s="16">
        <f>IF(Mask!Y20=1,"",SQRT(u_vel!Y20^2+v_vel!Y20^2))</f>
        <v/>
      </c>
      <c r="Z20" s="16">
        <f>IF(Mask!Z20=1,"",SQRT(u_vel!Z20^2+v_vel!Z20^2))</f>
        <v/>
      </c>
      <c r="AA20" s="16">
        <f>IF(Mask!AA20=1,"",SQRT(u_vel!AA20^2+v_vel!AA20^2))</f>
        <v/>
      </c>
      <c r="AB20" s="16">
        <f>IF(Mask!AB20=1,"",SQRT(u_vel!AB20^2+v_vel!AB20^2))</f>
        <v/>
      </c>
      <c r="AC20" s="16">
        <f>IF(Mask!AC20=1,"",SQRT(u_vel!AC20^2+v_vel!AC20^2))</f>
        <v/>
      </c>
      <c r="AD20" s="16">
        <f>IF(Mask!AD20=1,"",SQRT(u_vel!AD20^2+v_vel!AD20^2))</f>
        <v/>
      </c>
      <c r="AE20" s="16">
        <f>IF(Mask!AE20=1,"",SQRT(u_vel!AE20^2+v_vel!AE20^2))</f>
        <v/>
      </c>
      <c r="AF20" s="16">
        <f>IF(Mask!AF20=1,"",SQRT(u_vel!AF20^2+v_vel!AF20^2))</f>
        <v/>
      </c>
      <c r="AG20" s="16">
        <f>IF(Mask!AG20=1,"",SQRT(u_vel!AG20^2+v_vel!AG20^2))</f>
        <v/>
      </c>
      <c r="AH20" s="16">
        <f>IF(Mask!AH20=1,"",SQRT(u_vel!AH20^2+v_vel!AH20^2))</f>
        <v/>
      </c>
      <c r="AI20" s="16">
        <f>IF(Mask!AI20=1,"",SQRT(u_vel!AI20^2+v_vel!AI20^2))</f>
        <v/>
      </c>
      <c r="AJ20" s="16">
        <f>IF(Mask!AJ20=1,"",SQRT(u_vel!AJ20^2+v_vel!AJ20^2))</f>
        <v/>
      </c>
      <c r="AK20" s="16">
        <f>IF(Mask!AK20=1,"",SQRT(u_vel!AK20^2+v_vel!AK20^2))</f>
        <v/>
      </c>
      <c r="AL20" s="16">
        <f>IF(Mask!AL20=1,"",SQRT(u_vel!AL20^2+v_vel!AL20^2))</f>
        <v/>
      </c>
      <c r="AM20" s="16">
        <f>IF(Mask!AM20=1,"",SQRT(u_vel!AM20^2+v_vel!AM20^2))</f>
        <v/>
      </c>
      <c r="AN20" s="16">
        <f>IF(Mask!AN20=1,"",SQRT(u_vel!AN20^2+v_vel!AN20^2))</f>
        <v/>
      </c>
      <c r="AO20" s="16">
        <f>IF(Mask!AO20=1,"",SQRT(u_vel!AO20^2+v_vel!AO20^2))</f>
        <v/>
      </c>
      <c r="AP20" s="16">
        <f>IF(Mask!AP20=1,"",SQRT(u_vel!AP20^2+v_vel!AP20^2))</f>
        <v/>
      </c>
    </row>
    <row r="21">
      <c r="A21" s="7">
        <f>A20-p_h</f>
        <v/>
      </c>
      <c r="B21" s="16">
        <f>IF(Mask!B21=1,"",SQRT(u_vel!B21^2+v_vel!B21^2))</f>
        <v/>
      </c>
      <c r="C21" s="16">
        <f>IF(Mask!C21=1,"",SQRT(u_vel!C21^2+v_vel!C21^2))</f>
        <v/>
      </c>
      <c r="D21" s="16">
        <f>IF(Mask!D21=1,"",SQRT(u_vel!D21^2+v_vel!D21^2))</f>
        <v/>
      </c>
      <c r="E21" s="16">
        <f>IF(Mask!E21=1,"",SQRT(u_vel!E21^2+v_vel!E21^2))</f>
        <v/>
      </c>
      <c r="F21" s="16">
        <f>IF(Mask!F21=1,"",SQRT(u_vel!F21^2+v_vel!F21^2))</f>
        <v/>
      </c>
      <c r="G21" s="16">
        <f>IF(Mask!G21=1,"",SQRT(u_vel!G21^2+v_vel!G21^2))</f>
        <v/>
      </c>
      <c r="H21" s="16">
        <f>IF(Mask!H21=1,"",SQRT(u_vel!H21^2+v_vel!H21^2))</f>
        <v/>
      </c>
      <c r="I21" s="16">
        <f>IF(Mask!I21=1,"",SQRT(u_vel!I21^2+v_vel!I21^2))</f>
        <v/>
      </c>
      <c r="J21" s="16">
        <f>IF(Mask!J21=1,"",SQRT(u_vel!J21^2+v_vel!J21^2))</f>
        <v/>
      </c>
      <c r="K21" s="16">
        <f>IF(Mask!K21=1,"",SQRT(u_vel!K21^2+v_vel!K21^2))</f>
        <v/>
      </c>
      <c r="L21" s="16">
        <f>IF(Mask!L21=1,"",SQRT(u_vel!L21^2+v_vel!L21^2))</f>
        <v/>
      </c>
      <c r="M21" s="16">
        <f>IF(Mask!M21=1,"",SQRT(u_vel!M21^2+v_vel!M21^2))</f>
        <v/>
      </c>
      <c r="N21" s="16">
        <f>IF(Mask!N21=1,"",SQRT(u_vel!N21^2+v_vel!N21^2))</f>
        <v/>
      </c>
      <c r="O21" s="16">
        <f>IF(Mask!O21=1,"",SQRT(u_vel!O21^2+v_vel!O21^2))</f>
        <v/>
      </c>
      <c r="P21" s="16">
        <f>IF(Mask!P21=1,"",SQRT(u_vel!P21^2+v_vel!P21^2))</f>
        <v/>
      </c>
      <c r="Q21" s="16">
        <f>IF(Mask!Q21=1,"",SQRT(u_vel!Q21^2+v_vel!Q21^2))</f>
        <v/>
      </c>
      <c r="R21" s="16">
        <f>IF(Mask!R21=1,"",SQRT(u_vel!R21^2+v_vel!R21^2))</f>
        <v/>
      </c>
      <c r="S21" s="16">
        <f>IF(Mask!S21=1,"",SQRT(u_vel!S21^2+v_vel!S21^2))</f>
        <v/>
      </c>
      <c r="T21" s="16">
        <f>IF(Mask!T21=1,"",SQRT(u_vel!T21^2+v_vel!T21^2))</f>
        <v/>
      </c>
      <c r="U21" s="16">
        <f>IF(Mask!U21=1,"",SQRT(u_vel!U21^2+v_vel!U21^2))</f>
        <v/>
      </c>
      <c r="V21" s="16">
        <f>IF(Mask!V21=1,"",SQRT(u_vel!V21^2+v_vel!V21^2))</f>
        <v/>
      </c>
      <c r="W21" s="16">
        <f>IF(Mask!W21=1,"",SQRT(u_vel!W21^2+v_vel!W21^2))</f>
        <v/>
      </c>
      <c r="X21" s="16">
        <f>IF(Mask!X21=1,"",SQRT(u_vel!X21^2+v_vel!X21^2))</f>
        <v/>
      </c>
      <c r="Y21" s="16">
        <f>IF(Mask!Y21=1,"",SQRT(u_vel!Y21^2+v_vel!Y21^2))</f>
        <v/>
      </c>
      <c r="Z21" s="16">
        <f>IF(Mask!Z21=1,"",SQRT(u_vel!Z21^2+v_vel!Z21^2))</f>
        <v/>
      </c>
      <c r="AA21" s="16">
        <f>IF(Mask!AA21=1,"",SQRT(u_vel!AA21^2+v_vel!AA21^2))</f>
        <v/>
      </c>
      <c r="AB21" s="16">
        <f>IF(Mask!AB21=1,"",SQRT(u_vel!AB21^2+v_vel!AB21^2))</f>
        <v/>
      </c>
      <c r="AC21" s="16">
        <f>IF(Mask!AC21=1,"",SQRT(u_vel!AC21^2+v_vel!AC21^2))</f>
        <v/>
      </c>
      <c r="AD21" s="16">
        <f>IF(Mask!AD21=1,"",SQRT(u_vel!AD21^2+v_vel!AD21^2))</f>
        <v/>
      </c>
      <c r="AE21" s="16">
        <f>IF(Mask!AE21=1,"",SQRT(u_vel!AE21^2+v_vel!AE21^2))</f>
        <v/>
      </c>
      <c r="AF21" s="16">
        <f>IF(Mask!AF21=1,"",SQRT(u_vel!AF21^2+v_vel!AF21^2))</f>
        <v/>
      </c>
      <c r="AG21" s="16">
        <f>IF(Mask!AG21=1,"",SQRT(u_vel!AG21^2+v_vel!AG21^2))</f>
        <v/>
      </c>
      <c r="AH21" s="16">
        <f>IF(Mask!AH21=1,"",SQRT(u_vel!AH21^2+v_vel!AH21^2))</f>
        <v/>
      </c>
      <c r="AI21" s="16">
        <f>IF(Mask!AI21=1,"",SQRT(u_vel!AI21^2+v_vel!AI21^2))</f>
        <v/>
      </c>
      <c r="AJ21" s="16">
        <f>IF(Mask!AJ21=1,"",SQRT(u_vel!AJ21^2+v_vel!AJ21^2))</f>
        <v/>
      </c>
      <c r="AK21" s="16">
        <f>IF(Mask!AK21=1,"",SQRT(u_vel!AK21^2+v_vel!AK21^2))</f>
        <v/>
      </c>
      <c r="AL21" s="16">
        <f>IF(Mask!AL21=1,"",SQRT(u_vel!AL21^2+v_vel!AL21^2))</f>
        <v/>
      </c>
      <c r="AM21" s="16">
        <f>IF(Mask!AM21=1,"",SQRT(u_vel!AM21^2+v_vel!AM21^2))</f>
        <v/>
      </c>
      <c r="AN21" s="16">
        <f>IF(Mask!AN21=1,"",SQRT(u_vel!AN21^2+v_vel!AN21^2))</f>
        <v/>
      </c>
      <c r="AO21" s="16">
        <f>IF(Mask!AO21=1,"",SQRT(u_vel!AO21^2+v_vel!AO21^2))</f>
        <v/>
      </c>
      <c r="AP21" s="16">
        <f>IF(Mask!AP21=1,"",SQRT(u_vel!AP21^2+v_vel!AP21^2))</f>
        <v/>
      </c>
    </row>
    <row r="22">
      <c r="A22" s="7">
        <f>A21-p_h</f>
        <v/>
      </c>
      <c r="B22" s="16">
        <f>IF(Mask!B22=1,"",SQRT(u_vel!B22^2+v_vel!B22^2))</f>
        <v/>
      </c>
      <c r="C22" s="16">
        <f>IF(Mask!C22=1,"",SQRT(u_vel!C22^2+v_vel!C22^2))</f>
        <v/>
      </c>
      <c r="D22" s="16">
        <f>IF(Mask!D22=1,"",SQRT(u_vel!D22^2+v_vel!D22^2))</f>
        <v/>
      </c>
      <c r="E22" s="16">
        <f>IF(Mask!E22=1,"",SQRT(u_vel!E22^2+v_vel!E22^2))</f>
        <v/>
      </c>
      <c r="F22" s="16">
        <f>IF(Mask!F22=1,"",SQRT(u_vel!F22^2+v_vel!F22^2))</f>
        <v/>
      </c>
      <c r="G22" s="16">
        <f>IF(Mask!G22=1,"",SQRT(u_vel!G22^2+v_vel!G22^2))</f>
        <v/>
      </c>
      <c r="H22" s="16">
        <f>IF(Mask!H22=1,"",SQRT(u_vel!H22^2+v_vel!H22^2))</f>
        <v/>
      </c>
      <c r="I22" s="16">
        <f>IF(Mask!I22=1,"",SQRT(u_vel!I22^2+v_vel!I22^2))</f>
        <v/>
      </c>
      <c r="J22" s="16">
        <f>IF(Mask!J22=1,"",SQRT(u_vel!J22^2+v_vel!J22^2))</f>
        <v/>
      </c>
      <c r="K22" s="16">
        <f>IF(Mask!K22=1,"",SQRT(u_vel!K22^2+v_vel!K22^2))</f>
        <v/>
      </c>
      <c r="L22" s="16">
        <f>IF(Mask!L22=1,"",SQRT(u_vel!L22^2+v_vel!L22^2))</f>
        <v/>
      </c>
      <c r="M22" s="16">
        <f>IF(Mask!M22=1,"",SQRT(u_vel!M22^2+v_vel!M22^2))</f>
        <v/>
      </c>
      <c r="N22" s="16">
        <f>IF(Mask!N22=1,"",SQRT(u_vel!N22^2+v_vel!N22^2))</f>
        <v/>
      </c>
      <c r="O22" s="16">
        <f>IF(Mask!O22=1,"",SQRT(u_vel!O22^2+v_vel!O22^2))</f>
        <v/>
      </c>
      <c r="P22" s="16">
        <f>IF(Mask!P22=1,"",SQRT(u_vel!P22^2+v_vel!P22^2))</f>
        <v/>
      </c>
      <c r="Q22" s="16">
        <f>IF(Mask!Q22=1,"",SQRT(u_vel!Q22^2+v_vel!Q22^2))</f>
        <v/>
      </c>
      <c r="R22" s="16">
        <f>IF(Mask!R22=1,"",SQRT(u_vel!R22^2+v_vel!R22^2))</f>
        <v/>
      </c>
      <c r="S22" s="16">
        <f>IF(Mask!S22=1,"",SQRT(u_vel!S22^2+v_vel!S22^2))</f>
        <v/>
      </c>
      <c r="T22" s="16">
        <f>IF(Mask!T22=1,"",SQRT(u_vel!T22^2+v_vel!T22^2))</f>
        <v/>
      </c>
      <c r="U22" s="16">
        <f>IF(Mask!U22=1,"",SQRT(u_vel!U22^2+v_vel!U22^2))</f>
        <v/>
      </c>
      <c r="V22" s="16">
        <f>IF(Mask!V22=1,"",SQRT(u_vel!V22^2+v_vel!V22^2))</f>
        <v/>
      </c>
      <c r="W22" s="16">
        <f>IF(Mask!W22=1,"",SQRT(u_vel!W22^2+v_vel!W22^2))</f>
        <v/>
      </c>
      <c r="X22" s="16">
        <f>IF(Mask!X22=1,"",SQRT(u_vel!X22^2+v_vel!X22^2))</f>
        <v/>
      </c>
      <c r="Y22" s="16">
        <f>IF(Mask!Y22=1,"",SQRT(u_vel!Y22^2+v_vel!Y22^2))</f>
        <v/>
      </c>
      <c r="Z22" s="16">
        <f>IF(Mask!Z22=1,"",SQRT(u_vel!Z22^2+v_vel!Z22^2))</f>
        <v/>
      </c>
      <c r="AA22" s="16">
        <f>IF(Mask!AA22=1,"",SQRT(u_vel!AA22^2+v_vel!AA22^2))</f>
        <v/>
      </c>
      <c r="AB22" s="16">
        <f>IF(Mask!AB22=1,"",SQRT(u_vel!AB22^2+v_vel!AB22^2))</f>
        <v/>
      </c>
      <c r="AC22" s="16">
        <f>IF(Mask!AC22=1,"",SQRT(u_vel!AC22^2+v_vel!AC22^2))</f>
        <v/>
      </c>
      <c r="AD22" s="16">
        <f>IF(Mask!AD22=1,"",SQRT(u_vel!AD22^2+v_vel!AD22^2))</f>
        <v/>
      </c>
      <c r="AE22" s="16">
        <f>IF(Mask!AE22=1,"",SQRT(u_vel!AE22^2+v_vel!AE22^2))</f>
        <v/>
      </c>
      <c r="AF22" s="16">
        <f>IF(Mask!AF22=1,"",SQRT(u_vel!AF22^2+v_vel!AF22^2))</f>
        <v/>
      </c>
      <c r="AG22" s="16">
        <f>IF(Mask!AG22=1,"",SQRT(u_vel!AG22^2+v_vel!AG22^2))</f>
        <v/>
      </c>
      <c r="AH22" s="16">
        <f>IF(Mask!AH22=1,"",SQRT(u_vel!AH22^2+v_vel!AH22^2))</f>
        <v/>
      </c>
      <c r="AI22" s="16">
        <f>IF(Mask!AI22=1,"",SQRT(u_vel!AI22^2+v_vel!AI22^2))</f>
        <v/>
      </c>
      <c r="AJ22" s="16">
        <f>IF(Mask!AJ22=1,"",SQRT(u_vel!AJ22^2+v_vel!AJ22^2))</f>
        <v/>
      </c>
      <c r="AK22" s="16">
        <f>IF(Mask!AK22=1,"",SQRT(u_vel!AK22^2+v_vel!AK22^2))</f>
        <v/>
      </c>
      <c r="AL22" s="16">
        <f>IF(Mask!AL22=1,"",SQRT(u_vel!AL22^2+v_vel!AL22^2))</f>
        <v/>
      </c>
      <c r="AM22" s="16">
        <f>IF(Mask!AM22=1,"",SQRT(u_vel!AM22^2+v_vel!AM22^2))</f>
        <v/>
      </c>
      <c r="AN22" s="16">
        <f>IF(Mask!AN22=1,"",SQRT(u_vel!AN22^2+v_vel!AN22^2))</f>
        <v/>
      </c>
      <c r="AO22" s="16">
        <f>IF(Mask!AO22=1,"",SQRT(u_vel!AO22^2+v_vel!AO22^2))</f>
        <v/>
      </c>
      <c r="AP22" s="16">
        <f>IF(Mask!AP22=1,"",SQRT(u_vel!AP22^2+v_vel!AP22^2))</f>
        <v/>
      </c>
    </row>
    <row r="23">
      <c r="A23" s="7">
        <f>A22-p_h</f>
        <v/>
      </c>
      <c r="B23" s="16">
        <f>IF(Mask!B23=1,"",SQRT(u_vel!B23^2+v_vel!B23^2))</f>
        <v/>
      </c>
      <c r="C23" s="16">
        <f>IF(Mask!C23=1,"",SQRT(u_vel!C23^2+v_vel!C23^2))</f>
        <v/>
      </c>
      <c r="D23" s="16">
        <f>IF(Mask!D23=1,"",SQRT(u_vel!D23^2+v_vel!D23^2))</f>
        <v/>
      </c>
      <c r="E23" s="16">
        <f>IF(Mask!E23=1,"",SQRT(u_vel!E23^2+v_vel!E23^2))</f>
        <v/>
      </c>
      <c r="F23" s="16">
        <f>IF(Mask!F23=1,"",SQRT(u_vel!F23^2+v_vel!F23^2))</f>
        <v/>
      </c>
      <c r="G23" s="16">
        <f>IF(Mask!G23=1,"",SQRT(u_vel!G23^2+v_vel!G23^2))</f>
        <v/>
      </c>
      <c r="H23" s="16">
        <f>IF(Mask!H23=1,"",SQRT(u_vel!H23^2+v_vel!H23^2))</f>
        <v/>
      </c>
      <c r="I23" s="16">
        <f>IF(Mask!I23=1,"",SQRT(u_vel!I23^2+v_vel!I23^2))</f>
        <v/>
      </c>
      <c r="J23" s="16">
        <f>IF(Mask!J23=1,"",SQRT(u_vel!J23^2+v_vel!J23^2))</f>
        <v/>
      </c>
      <c r="K23" s="16">
        <f>IF(Mask!K23=1,"",SQRT(u_vel!K23^2+v_vel!K23^2))</f>
        <v/>
      </c>
      <c r="L23" s="16">
        <f>IF(Mask!L23=1,"",SQRT(u_vel!L23^2+v_vel!L23^2))</f>
        <v/>
      </c>
      <c r="M23" s="16">
        <f>IF(Mask!M23=1,"",SQRT(u_vel!M23^2+v_vel!M23^2))</f>
        <v/>
      </c>
      <c r="N23" s="16">
        <f>IF(Mask!N23=1,"",SQRT(u_vel!N23^2+v_vel!N23^2))</f>
        <v/>
      </c>
      <c r="O23" s="16">
        <f>IF(Mask!O23=1,"",SQRT(u_vel!O23^2+v_vel!O23^2))</f>
        <v/>
      </c>
      <c r="P23" s="16">
        <f>IF(Mask!P23=1,"",SQRT(u_vel!P23^2+v_vel!P23^2))</f>
        <v/>
      </c>
      <c r="Q23" s="16">
        <f>IF(Mask!Q23=1,"",SQRT(u_vel!Q23^2+v_vel!Q23^2))</f>
        <v/>
      </c>
      <c r="R23" s="16">
        <f>IF(Mask!R23=1,"",SQRT(u_vel!R23^2+v_vel!R23^2))</f>
        <v/>
      </c>
      <c r="S23" s="16">
        <f>IF(Mask!S23=1,"",SQRT(u_vel!S23^2+v_vel!S23^2))</f>
        <v/>
      </c>
      <c r="T23" s="16">
        <f>IF(Mask!T23=1,"",SQRT(u_vel!T23^2+v_vel!T23^2))</f>
        <v/>
      </c>
      <c r="U23" s="16">
        <f>IF(Mask!U23=1,"",SQRT(u_vel!U23^2+v_vel!U23^2))</f>
        <v/>
      </c>
      <c r="V23" s="16">
        <f>IF(Mask!V23=1,"",SQRT(u_vel!V23^2+v_vel!V23^2))</f>
        <v/>
      </c>
      <c r="W23" s="16">
        <f>IF(Mask!W23=1,"",SQRT(u_vel!W23^2+v_vel!W23^2))</f>
        <v/>
      </c>
      <c r="X23" s="16">
        <f>IF(Mask!X23=1,"",SQRT(u_vel!X23^2+v_vel!X23^2))</f>
        <v/>
      </c>
      <c r="Y23" s="16">
        <f>IF(Mask!Y23=1,"",SQRT(u_vel!Y23^2+v_vel!Y23^2))</f>
        <v/>
      </c>
      <c r="Z23" s="16">
        <f>IF(Mask!Z23=1,"",SQRT(u_vel!Z23^2+v_vel!Z23^2))</f>
        <v/>
      </c>
      <c r="AA23" s="16">
        <f>IF(Mask!AA23=1,"",SQRT(u_vel!AA23^2+v_vel!AA23^2))</f>
        <v/>
      </c>
      <c r="AB23" s="16">
        <f>IF(Mask!AB23=1,"",SQRT(u_vel!AB23^2+v_vel!AB23^2))</f>
        <v/>
      </c>
      <c r="AC23" s="16">
        <f>IF(Mask!AC23=1,"",SQRT(u_vel!AC23^2+v_vel!AC23^2))</f>
        <v/>
      </c>
      <c r="AD23" s="16">
        <f>IF(Mask!AD23=1,"",SQRT(u_vel!AD23^2+v_vel!AD23^2))</f>
        <v/>
      </c>
      <c r="AE23" s="16">
        <f>IF(Mask!AE23=1,"",SQRT(u_vel!AE23^2+v_vel!AE23^2))</f>
        <v/>
      </c>
      <c r="AF23" s="16">
        <f>IF(Mask!AF23=1,"",SQRT(u_vel!AF23^2+v_vel!AF23^2))</f>
        <v/>
      </c>
      <c r="AG23" s="16">
        <f>IF(Mask!AG23=1,"",SQRT(u_vel!AG23^2+v_vel!AG23^2))</f>
        <v/>
      </c>
      <c r="AH23" s="16">
        <f>IF(Mask!AH23=1,"",SQRT(u_vel!AH23^2+v_vel!AH23^2))</f>
        <v/>
      </c>
      <c r="AI23" s="16">
        <f>IF(Mask!AI23=1,"",SQRT(u_vel!AI23^2+v_vel!AI23^2))</f>
        <v/>
      </c>
      <c r="AJ23" s="16">
        <f>IF(Mask!AJ23=1,"",SQRT(u_vel!AJ23^2+v_vel!AJ23^2))</f>
        <v/>
      </c>
      <c r="AK23" s="16">
        <f>IF(Mask!AK23=1,"",SQRT(u_vel!AK23^2+v_vel!AK23^2))</f>
        <v/>
      </c>
      <c r="AL23" s="16">
        <f>IF(Mask!AL23=1,"",SQRT(u_vel!AL23^2+v_vel!AL23^2))</f>
        <v/>
      </c>
      <c r="AM23" s="16">
        <f>IF(Mask!AM23=1,"",SQRT(u_vel!AM23^2+v_vel!AM23^2))</f>
        <v/>
      </c>
      <c r="AN23" s="16">
        <f>IF(Mask!AN23=1,"",SQRT(u_vel!AN23^2+v_vel!AN23^2))</f>
        <v/>
      </c>
      <c r="AO23" s="16">
        <f>IF(Mask!AO23=1,"",SQRT(u_vel!AO23^2+v_vel!AO23^2))</f>
        <v/>
      </c>
      <c r="AP23" s="16">
        <f>IF(Mask!AP23=1,"",SQRT(u_vel!AP23^2+v_vel!AP23^2))</f>
        <v/>
      </c>
    </row>
  </sheetData>
  <conditionalFormatting sqref="B3:AP23">
    <cfRule type="colorScale" priority="1">
      <colorScale>
        <cfvo type="min"/>
        <cfvo type="percentile" val="50"/>
        <cfvo type="max"/>
        <color rgb="002C7BB6"/>
        <color rgb="00FFFFBF"/>
        <color rgb="00D7191C"/>
      </colorScale>
    </cfRule>
    <cfRule type="expression" priority="2" dxfId="1">
      <formula>ISTEXT(B3)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2026-10-26T22:52:07Z</dcterms:created>
  <dcterms:modified xmlns:dcterms="http://purl.org/dc/terms/" xmlns:xsi="http://www.w3.org/2001/XMLSchema-instance" xsi:type="dcterms:W3CDTF">2026-10-26T22:52:07Z</dcterms:modified>
</cp:coreProperties>
</file>