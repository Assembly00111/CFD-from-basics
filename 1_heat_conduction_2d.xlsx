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Validation" sheetId="4" state="visible" r:id="rId4"/>
  </sheets>
  <definedNames>
    <definedName name="p_reset">Inputs!$B$5</definedName>
    <definedName name="p_Ttop">Inputs!$B$7</definedName>
    <definedName name="p_Tbottom">Inputs!$B$8</definedName>
    <definedName name="p_Tleft">Inputs!$B$9</definedName>
    <definedName name="p_Tright">Inputs!$B$10</definedName>
    <definedName name="p_Tinit">Inputs!$B$11</definedName>
    <definedName name="p_alpha">Inputs!$B$13</definedName>
    <definedName name="p_dt">Inputs!$B$14</definedName>
    <definedName name="p_N">Inputs!$B$15</definedName>
    <definedName name="p_h">Inputs!$B$16</definedName>
    <definedName name="p_Fo">Inputs!$B$17</definedName>
  </definedNames>
  <calcPr calcId="124519" fullCalcOnLoad="1" iterate="1" iterateCount="1000" iterateDelta="1e-09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8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2" borderId="0" pivotButton="0" quotePrefix="0" xfId="0"/>
    <xf numFmtId="2" fontId="7" fillId="2" borderId="0" applyAlignment="1" pivotButton="0" quotePrefix="0" xfId="0">
      <alignment horizontal="center"/>
    </xf>
    <xf numFmtId="2" fontId="7" fillId="2" borderId="0" pivotButton="0" quotePrefix="0" xfId="0"/>
    <xf numFmtId="164" fontId="8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Centre-line temperature</a:t>
            </a:r>
          </a:p>
        </rich>
      </tx>
    </title>
    <plotArea>
      <scatterChart>
        <ser>
          <idx val="0"/>
          <order val="0"/>
          <tx>
            <v>Spreadsheet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'Validation'!$B$3:$B$23</f>
            </numRef>
          </xVal>
          <yVal>
            <numRef>
              <f>'Validation'!$A$3:$A$23</f>
            </numRef>
          </yVal>
          <smooth val="0"/>
        </ser>
        <ser>
          <idx val="1"/>
          <order val="1"/>
          <tx>
            <v>Exact series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'Validation'!$C$3:$C$23</f>
            </numRef>
          </xVal>
          <yVal>
            <numRef>
              <f>'Validation'!$A$3:$A$23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[deg C]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15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2D transient heat conduction in Excel</t>
        </is>
      </c>
    </row>
    <row r="3">
      <c r="A3" s="2" t="inlineStr">
        <is>
          <t>WHAT THIS SOLVES</t>
        </is>
      </c>
    </row>
    <row r="4">
      <c r="A4" s="3" t="inlineStr">
        <is>
          <t>dT/dt = alpha * (d2T/dx2 + d2T/dy2) on a 1 m x 1 m plate with fixed (Dirichlet) edge temperatures.</t>
        </is>
      </c>
    </row>
    <row r="5">
      <c r="A5" s="3" t="inlineStr">
        <is>
          <t>Scheme: explicit FTCS.  T_new = T + Fo*(T_E + T_W + T_N + T_S - 4*T),  Fo = alpha*dt/h^2 &lt;= 0.25.</t>
        </is>
      </c>
    </row>
    <row r="6">
      <c r="A6" s="3" t="inlineStr"/>
    </row>
    <row r="7">
      <c r="A7" s="2" t="inlineStr">
        <is>
          <t>ONE-TIME SETUP (required):</t>
        </is>
      </c>
    </row>
    <row r="8">
      <c r="A8" s="3" t="inlineStr">
        <is>
          <t>1) File &gt; Options &gt; Formulas &gt; tick 'Enable iterative calculation'.  Set Maximum Iterations = 1000, Maximum Change = 0.000000001.</t>
        </is>
      </c>
    </row>
    <row r="9">
      <c r="A9" s="3" t="inlineStr">
        <is>
          <t xml:space="preserve">   (Excel takes this setting from the first workbook opened in a session. Close other workbooks first if you see a circular-reference warning.)</t>
        </is>
      </c>
    </row>
    <row r="10">
      <c r="A10" s="3" t="inlineStr">
        <is>
          <t>2) Press F9. Each F9 advances the solution by 'Maximum Iterations' time steps. Watch the 'T' sheet heat map evolve.</t>
        </is>
      </c>
    </row>
    <row r="11">
      <c r="A11" s="3" t="inlineStr"/>
    </row>
    <row r="12">
      <c r="A12" s="2" t="inlineStr">
        <is>
          <t>HOW TO USE:</t>
        </is>
      </c>
    </row>
    <row r="13">
      <c r="A13" s="3" t="inlineStr">
        <is>
          <t>- Change edge temperatures / alpha / dt on the 'Inputs' sheet, then press F9 repeatedly until the monitors stop changing.</t>
        </is>
      </c>
    </row>
    <row r="14">
      <c r="A14" s="3" t="inlineStr">
        <is>
          <t>- Set Reset = 1 to wipe the field, then 0 to run again.</t>
        </is>
      </c>
    </row>
    <row r="15">
      <c r="A15" s="3" t="inlineStr">
        <is>
          <t>- 'Validation' compares the centre line with the exact Fourier series (top edge hot, other three edges 0).</t>
        </is>
      </c>
    </row>
    <row r="16">
      <c r="A16" s="3" t="inlineStr"/>
    </row>
    <row r="17">
      <c r="A17" s="3" t="inlineStr">
        <is>
          <t>TRY: set Tleft=100 and Tright=0 for a left-to-right gradient; raise dt until the stability check shows UNSTABLE and watch it explode.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4" t="inlineStr">
        <is>
          <t>Temperature field T [deg C]   (row 3 = top edge y=1, last row = bottom edge y=0)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</row>
    <row r="3">
      <c r="A3" s="7">
        <f>20*p_h</f>
        <v/>
      </c>
      <c r="B3" s="8">
        <f>AVERAGE(p_Ttop,p_Tleft)</f>
        <v/>
      </c>
      <c r="C3" s="8">
        <f>p_Ttop</f>
        <v/>
      </c>
      <c r="D3" s="8">
        <f>p_Ttop</f>
        <v/>
      </c>
      <c r="E3" s="8">
        <f>p_Ttop</f>
        <v/>
      </c>
      <c r="F3" s="8">
        <f>p_Ttop</f>
        <v/>
      </c>
      <c r="G3" s="8">
        <f>p_Ttop</f>
        <v/>
      </c>
      <c r="H3" s="8">
        <f>p_Ttop</f>
        <v/>
      </c>
      <c r="I3" s="8">
        <f>p_Ttop</f>
        <v/>
      </c>
      <c r="J3" s="8">
        <f>p_Ttop</f>
        <v/>
      </c>
      <c r="K3" s="8">
        <f>p_Ttop</f>
        <v/>
      </c>
      <c r="L3" s="8">
        <f>p_Ttop</f>
        <v/>
      </c>
      <c r="M3" s="8">
        <f>p_Ttop</f>
        <v/>
      </c>
      <c r="N3" s="8">
        <f>p_Ttop</f>
        <v/>
      </c>
      <c r="O3" s="8">
        <f>p_Ttop</f>
        <v/>
      </c>
      <c r="P3" s="8">
        <f>p_Ttop</f>
        <v/>
      </c>
      <c r="Q3" s="8">
        <f>p_Ttop</f>
        <v/>
      </c>
      <c r="R3" s="8">
        <f>p_Ttop</f>
        <v/>
      </c>
      <c r="S3" s="8">
        <f>p_Ttop</f>
        <v/>
      </c>
      <c r="T3" s="8">
        <f>p_Ttop</f>
        <v/>
      </c>
      <c r="U3" s="8">
        <f>p_Ttop</f>
        <v/>
      </c>
      <c r="V3" s="8">
        <f>AVERAGE(p_Ttop,p_Tright)</f>
        <v/>
      </c>
    </row>
    <row r="4">
      <c r="A4" s="7">
        <f>A3-p_h</f>
        <v/>
      </c>
      <c r="B4" s="8">
        <f>p_Tleft</f>
        <v/>
      </c>
      <c r="C4" s="8">
        <f>IF(p_reset=1,p_Tinit,C4+p_Fo*(D4+B4+C3+C5-4*C4))</f>
        <v/>
      </c>
      <c r="D4" s="8">
        <f>IF(p_reset=1,p_Tinit,D4+p_Fo*(E4+C4+D3+D5-4*D4))</f>
        <v/>
      </c>
      <c r="E4" s="8">
        <f>IF(p_reset=1,p_Tinit,E4+p_Fo*(F4+D4+E3+E5-4*E4))</f>
        <v/>
      </c>
      <c r="F4" s="8">
        <f>IF(p_reset=1,p_Tinit,F4+p_Fo*(G4+E4+F3+F5-4*F4))</f>
        <v/>
      </c>
      <c r="G4" s="8">
        <f>IF(p_reset=1,p_Tinit,G4+p_Fo*(H4+F4+G3+G5-4*G4))</f>
        <v/>
      </c>
      <c r="H4" s="8">
        <f>IF(p_reset=1,p_Tinit,H4+p_Fo*(I4+G4+H3+H5-4*H4))</f>
        <v/>
      </c>
      <c r="I4" s="8">
        <f>IF(p_reset=1,p_Tinit,I4+p_Fo*(J4+H4+I3+I5-4*I4))</f>
        <v/>
      </c>
      <c r="J4" s="8">
        <f>IF(p_reset=1,p_Tinit,J4+p_Fo*(K4+I4+J3+J5-4*J4))</f>
        <v/>
      </c>
      <c r="K4" s="8">
        <f>IF(p_reset=1,p_Tinit,K4+p_Fo*(L4+J4+K3+K5-4*K4))</f>
        <v/>
      </c>
      <c r="L4" s="8">
        <f>IF(p_reset=1,p_Tinit,L4+p_Fo*(M4+K4+L3+L5-4*L4))</f>
        <v/>
      </c>
      <c r="M4" s="8">
        <f>IF(p_reset=1,p_Tinit,M4+p_Fo*(N4+L4+M3+M5-4*M4))</f>
        <v/>
      </c>
      <c r="N4" s="8">
        <f>IF(p_reset=1,p_Tinit,N4+p_Fo*(O4+M4+N3+N5-4*N4))</f>
        <v/>
      </c>
      <c r="O4" s="8">
        <f>IF(p_reset=1,p_Tinit,O4+p_Fo*(P4+N4+O3+O5-4*O4))</f>
        <v/>
      </c>
      <c r="P4" s="8">
        <f>IF(p_reset=1,p_Tinit,P4+p_Fo*(Q4+O4+P3+P5-4*P4))</f>
        <v/>
      </c>
      <c r="Q4" s="8">
        <f>IF(p_reset=1,p_Tinit,Q4+p_Fo*(R4+P4+Q3+Q5-4*Q4))</f>
        <v/>
      </c>
      <c r="R4" s="8">
        <f>IF(p_reset=1,p_Tinit,R4+p_Fo*(S4+Q4+R3+R5-4*R4))</f>
        <v/>
      </c>
      <c r="S4" s="8">
        <f>IF(p_reset=1,p_Tinit,S4+p_Fo*(T4+R4+S3+S5-4*S4))</f>
        <v/>
      </c>
      <c r="T4" s="8">
        <f>IF(p_reset=1,p_Tinit,T4+p_Fo*(U4+S4+T3+T5-4*T4))</f>
        <v/>
      </c>
      <c r="U4" s="8">
        <f>IF(p_reset=1,p_Tinit,U4+p_Fo*(V4+T4+U3+U5-4*U4))</f>
        <v/>
      </c>
      <c r="V4" s="8">
        <f>p_Tright</f>
        <v/>
      </c>
    </row>
    <row r="5">
      <c r="A5" s="7">
        <f>A4-p_h</f>
        <v/>
      </c>
      <c r="B5" s="8">
        <f>p_Tleft</f>
        <v/>
      </c>
      <c r="C5" s="8">
        <f>IF(p_reset=1,p_Tinit,C5+p_Fo*(D5+B5+C4+C6-4*C5))</f>
        <v/>
      </c>
      <c r="D5" s="8">
        <f>IF(p_reset=1,p_Tinit,D5+p_Fo*(E5+C5+D4+D6-4*D5))</f>
        <v/>
      </c>
      <c r="E5" s="8">
        <f>IF(p_reset=1,p_Tinit,E5+p_Fo*(F5+D5+E4+E6-4*E5))</f>
        <v/>
      </c>
      <c r="F5" s="8">
        <f>IF(p_reset=1,p_Tinit,F5+p_Fo*(G5+E5+F4+F6-4*F5))</f>
        <v/>
      </c>
      <c r="G5" s="8">
        <f>IF(p_reset=1,p_Tinit,G5+p_Fo*(H5+F5+G4+G6-4*G5))</f>
        <v/>
      </c>
      <c r="H5" s="8">
        <f>IF(p_reset=1,p_Tinit,H5+p_Fo*(I5+G5+H4+H6-4*H5))</f>
        <v/>
      </c>
      <c r="I5" s="8">
        <f>IF(p_reset=1,p_Tinit,I5+p_Fo*(J5+H5+I4+I6-4*I5))</f>
        <v/>
      </c>
      <c r="J5" s="8">
        <f>IF(p_reset=1,p_Tinit,J5+p_Fo*(K5+I5+J4+J6-4*J5))</f>
        <v/>
      </c>
      <c r="K5" s="8">
        <f>IF(p_reset=1,p_Tinit,K5+p_Fo*(L5+J5+K4+K6-4*K5))</f>
        <v/>
      </c>
      <c r="L5" s="8">
        <f>IF(p_reset=1,p_Tinit,L5+p_Fo*(M5+K5+L4+L6-4*L5))</f>
        <v/>
      </c>
      <c r="M5" s="8">
        <f>IF(p_reset=1,p_Tinit,M5+p_Fo*(N5+L5+M4+M6-4*M5))</f>
        <v/>
      </c>
      <c r="N5" s="8">
        <f>IF(p_reset=1,p_Tinit,N5+p_Fo*(O5+M5+N4+N6-4*N5))</f>
        <v/>
      </c>
      <c r="O5" s="8">
        <f>IF(p_reset=1,p_Tinit,O5+p_Fo*(P5+N5+O4+O6-4*O5))</f>
        <v/>
      </c>
      <c r="P5" s="8">
        <f>IF(p_reset=1,p_Tinit,P5+p_Fo*(Q5+O5+P4+P6-4*P5))</f>
        <v/>
      </c>
      <c r="Q5" s="8">
        <f>IF(p_reset=1,p_Tinit,Q5+p_Fo*(R5+P5+Q4+Q6-4*Q5))</f>
        <v/>
      </c>
      <c r="R5" s="8">
        <f>IF(p_reset=1,p_Tinit,R5+p_Fo*(S5+Q5+R4+R6-4*R5))</f>
        <v/>
      </c>
      <c r="S5" s="8">
        <f>IF(p_reset=1,p_Tinit,S5+p_Fo*(T5+R5+S4+S6-4*S5))</f>
        <v/>
      </c>
      <c r="T5" s="8">
        <f>IF(p_reset=1,p_Tinit,T5+p_Fo*(U5+S5+T4+T6-4*T5))</f>
        <v/>
      </c>
      <c r="U5" s="8">
        <f>IF(p_reset=1,p_Tinit,U5+p_Fo*(V5+T5+U4+U6-4*U5))</f>
        <v/>
      </c>
      <c r="V5" s="8">
        <f>p_Tright</f>
        <v/>
      </c>
    </row>
    <row r="6">
      <c r="A6" s="7">
        <f>A5-p_h</f>
        <v/>
      </c>
      <c r="B6" s="8">
        <f>p_Tleft</f>
        <v/>
      </c>
      <c r="C6" s="8">
        <f>IF(p_reset=1,p_Tinit,C6+p_Fo*(D6+B6+C5+C7-4*C6))</f>
        <v/>
      </c>
      <c r="D6" s="8">
        <f>IF(p_reset=1,p_Tinit,D6+p_Fo*(E6+C6+D5+D7-4*D6))</f>
        <v/>
      </c>
      <c r="E6" s="8">
        <f>IF(p_reset=1,p_Tinit,E6+p_Fo*(F6+D6+E5+E7-4*E6))</f>
        <v/>
      </c>
      <c r="F6" s="8">
        <f>IF(p_reset=1,p_Tinit,F6+p_Fo*(G6+E6+F5+F7-4*F6))</f>
        <v/>
      </c>
      <c r="G6" s="8">
        <f>IF(p_reset=1,p_Tinit,G6+p_Fo*(H6+F6+G5+G7-4*G6))</f>
        <v/>
      </c>
      <c r="H6" s="8">
        <f>IF(p_reset=1,p_Tinit,H6+p_Fo*(I6+G6+H5+H7-4*H6))</f>
        <v/>
      </c>
      <c r="I6" s="8">
        <f>IF(p_reset=1,p_Tinit,I6+p_Fo*(J6+H6+I5+I7-4*I6))</f>
        <v/>
      </c>
      <c r="J6" s="8">
        <f>IF(p_reset=1,p_Tinit,J6+p_Fo*(K6+I6+J5+J7-4*J6))</f>
        <v/>
      </c>
      <c r="K6" s="8">
        <f>IF(p_reset=1,p_Tinit,K6+p_Fo*(L6+J6+K5+K7-4*K6))</f>
        <v/>
      </c>
      <c r="L6" s="8">
        <f>IF(p_reset=1,p_Tinit,L6+p_Fo*(M6+K6+L5+L7-4*L6))</f>
        <v/>
      </c>
      <c r="M6" s="8">
        <f>IF(p_reset=1,p_Tinit,M6+p_Fo*(N6+L6+M5+M7-4*M6))</f>
        <v/>
      </c>
      <c r="N6" s="8">
        <f>IF(p_reset=1,p_Tinit,N6+p_Fo*(O6+M6+N5+N7-4*N6))</f>
        <v/>
      </c>
      <c r="O6" s="8">
        <f>IF(p_reset=1,p_Tinit,O6+p_Fo*(P6+N6+O5+O7-4*O6))</f>
        <v/>
      </c>
      <c r="P6" s="8">
        <f>IF(p_reset=1,p_Tinit,P6+p_Fo*(Q6+O6+P5+P7-4*P6))</f>
        <v/>
      </c>
      <c r="Q6" s="8">
        <f>IF(p_reset=1,p_Tinit,Q6+p_Fo*(R6+P6+Q5+Q7-4*Q6))</f>
        <v/>
      </c>
      <c r="R6" s="8">
        <f>IF(p_reset=1,p_Tinit,R6+p_Fo*(S6+Q6+R5+R7-4*R6))</f>
        <v/>
      </c>
      <c r="S6" s="8">
        <f>IF(p_reset=1,p_Tinit,S6+p_Fo*(T6+R6+S5+S7-4*S6))</f>
        <v/>
      </c>
      <c r="T6" s="8">
        <f>IF(p_reset=1,p_Tinit,T6+p_Fo*(U6+S6+T5+T7-4*T6))</f>
        <v/>
      </c>
      <c r="U6" s="8">
        <f>IF(p_reset=1,p_Tinit,U6+p_Fo*(V6+T6+U5+U7-4*U6))</f>
        <v/>
      </c>
      <c r="V6" s="8">
        <f>p_Tright</f>
        <v/>
      </c>
    </row>
    <row r="7">
      <c r="A7" s="7">
        <f>A6-p_h</f>
        <v/>
      </c>
      <c r="B7" s="8">
        <f>p_Tleft</f>
        <v/>
      </c>
      <c r="C7" s="8">
        <f>IF(p_reset=1,p_Tinit,C7+p_Fo*(D7+B7+C6+C8-4*C7))</f>
        <v/>
      </c>
      <c r="D7" s="8">
        <f>IF(p_reset=1,p_Tinit,D7+p_Fo*(E7+C7+D6+D8-4*D7))</f>
        <v/>
      </c>
      <c r="E7" s="8">
        <f>IF(p_reset=1,p_Tinit,E7+p_Fo*(F7+D7+E6+E8-4*E7))</f>
        <v/>
      </c>
      <c r="F7" s="8">
        <f>IF(p_reset=1,p_Tinit,F7+p_Fo*(G7+E7+F6+F8-4*F7))</f>
        <v/>
      </c>
      <c r="G7" s="8">
        <f>IF(p_reset=1,p_Tinit,G7+p_Fo*(H7+F7+G6+G8-4*G7))</f>
        <v/>
      </c>
      <c r="H7" s="8">
        <f>IF(p_reset=1,p_Tinit,H7+p_Fo*(I7+G7+H6+H8-4*H7))</f>
        <v/>
      </c>
      <c r="I7" s="8">
        <f>IF(p_reset=1,p_Tinit,I7+p_Fo*(J7+H7+I6+I8-4*I7))</f>
        <v/>
      </c>
      <c r="J7" s="8">
        <f>IF(p_reset=1,p_Tinit,J7+p_Fo*(K7+I7+J6+J8-4*J7))</f>
        <v/>
      </c>
      <c r="K7" s="8">
        <f>IF(p_reset=1,p_Tinit,K7+p_Fo*(L7+J7+K6+K8-4*K7))</f>
        <v/>
      </c>
      <c r="L7" s="8">
        <f>IF(p_reset=1,p_Tinit,L7+p_Fo*(M7+K7+L6+L8-4*L7))</f>
        <v/>
      </c>
      <c r="M7" s="8">
        <f>IF(p_reset=1,p_Tinit,M7+p_Fo*(N7+L7+M6+M8-4*M7))</f>
        <v/>
      </c>
      <c r="N7" s="8">
        <f>IF(p_reset=1,p_Tinit,N7+p_Fo*(O7+M7+N6+N8-4*N7))</f>
        <v/>
      </c>
      <c r="O7" s="8">
        <f>IF(p_reset=1,p_Tinit,O7+p_Fo*(P7+N7+O6+O8-4*O7))</f>
        <v/>
      </c>
      <c r="P7" s="8">
        <f>IF(p_reset=1,p_Tinit,P7+p_Fo*(Q7+O7+P6+P8-4*P7))</f>
        <v/>
      </c>
      <c r="Q7" s="8">
        <f>IF(p_reset=1,p_Tinit,Q7+p_Fo*(R7+P7+Q6+Q8-4*Q7))</f>
        <v/>
      </c>
      <c r="R7" s="8">
        <f>IF(p_reset=1,p_Tinit,R7+p_Fo*(S7+Q7+R6+R8-4*R7))</f>
        <v/>
      </c>
      <c r="S7" s="8">
        <f>IF(p_reset=1,p_Tinit,S7+p_Fo*(T7+R7+S6+S8-4*S7))</f>
        <v/>
      </c>
      <c r="T7" s="8">
        <f>IF(p_reset=1,p_Tinit,T7+p_Fo*(U7+S7+T6+T8-4*T7))</f>
        <v/>
      </c>
      <c r="U7" s="8">
        <f>IF(p_reset=1,p_Tinit,U7+p_Fo*(V7+T7+U6+U8-4*U7))</f>
        <v/>
      </c>
      <c r="V7" s="8">
        <f>p_Tright</f>
        <v/>
      </c>
    </row>
    <row r="8">
      <c r="A8" s="7">
        <f>A7-p_h</f>
        <v/>
      </c>
      <c r="B8" s="8">
        <f>p_Tleft</f>
        <v/>
      </c>
      <c r="C8" s="8">
        <f>IF(p_reset=1,p_Tinit,C8+p_Fo*(D8+B8+C7+C9-4*C8))</f>
        <v/>
      </c>
      <c r="D8" s="8">
        <f>IF(p_reset=1,p_Tinit,D8+p_Fo*(E8+C8+D7+D9-4*D8))</f>
        <v/>
      </c>
      <c r="E8" s="8">
        <f>IF(p_reset=1,p_Tinit,E8+p_Fo*(F8+D8+E7+E9-4*E8))</f>
        <v/>
      </c>
      <c r="F8" s="8">
        <f>IF(p_reset=1,p_Tinit,F8+p_Fo*(G8+E8+F7+F9-4*F8))</f>
        <v/>
      </c>
      <c r="G8" s="8">
        <f>IF(p_reset=1,p_Tinit,G8+p_Fo*(H8+F8+G7+G9-4*G8))</f>
        <v/>
      </c>
      <c r="H8" s="8">
        <f>IF(p_reset=1,p_Tinit,H8+p_Fo*(I8+G8+H7+H9-4*H8))</f>
        <v/>
      </c>
      <c r="I8" s="8">
        <f>IF(p_reset=1,p_Tinit,I8+p_Fo*(J8+H8+I7+I9-4*I8))</f>
        <v/>
      </c>
      <c r="J8" s="8">
        <f>IF(p_reset=1,p_Tinit,J8+p_Fo*(K8+I8+J7+J9-4*J8))</f>
        <v/>
      </c>
      <c r="K8" s="8">
        <f>IF(p_reset=1,p_Tinit,K8+p_Fo*(L8+J8+K7+K9-4*K8))</f>
        <v/>
      </c>
      <c r="L8" s="8">
        <f>IF(p_reset=1,p_Tinit,L8+p_Fo*(M8+K8+L7+L9-4*L8))</f>
        <v/>
      </c>
      <c r="M8" s="8">
        <f>IF(p_reset=1,p_Tinit,M8+p_Fo*(N8+L8+M7+M9-4*M8))</f>
        <v/>
      </c>
      <c r="N8" s="8">
        <f>IF(p_reset=1,p_Tinit,N8+p_Fo*(O8+M8+N7+N9-4*N8))</f>
        <v/>
      </c>
      <c r="O8" s="8">
        <f>IF(p_reset=1,p_Tinit,O8+p_Fo*(P8+N8+O7+O9-4*O8))</f>
        <v/>
      </c>
      <c r="P8" s="8">
        <f>IF(p_reset=1,p_Tinit,P8+p_Fo*(Q8+O8+P7+P9-4*P8))</f>
        <v/>
      </c>
      <c r="Q8" s="8">
        <f>IF(p_reset=1,p_Tinit,Q8+p_Fo*(R8+P8+Q7+Q9-4*Q8))</f>
        <v/>
      </c>
      <c r="R8" s="8">
        <f>IF(p_reset=1,p_Tinit,R8+p_Fo*(S8+Q8+R7+R9-4*R8))</f>
        <v/>
      </c>
      <c r="S8" s="8">
        <f>IF(p_reset=1,p_Tinit,S8+p_Fo*(T8+R8+S7+S9-4*S8))</f>
        <v/>
      </c>
      <c r="T8" s="8">
        <f>IF(p_reset=1,p_Tinit,T8+p_Fo*(U8+S8+T7+T9-4*T8))</f>
        <v/>
      </c>
      <c r="U8" s="8">
        <f>IF(p_reset=1,p_Tinit,U8+p_Fo*(V8+T8+U7+U9-4*U8))</f>
        <v/>
      </c>
      <c r="V8" s="8">
        <f>p_Tright</f>
        <v/>
      </c>
    </row>
    <row r="9">
      <c r="A9" s="7">
        <f>A8-p_h</f>
        <v/>
      </c>
      <c r="B9" s="8">
        <f>p_Tleft</f>
        <v/>
      </c>
      <c r="C9" s="8">
        <f>IF(p_reset=1,p_Tinit,C9+p_Fo*(D9+B9+C8+C10-4*C9))</f>
        <v/>
      </c>
      <c r="D9" s="8">
        <f>IF(p_reset=1,p_Tinit,D9+p_Fo*(E9+C9+D8+D10-4*D9))</f>
        <v/>
      </c>
      <c r="E9" s="8">
        <f>IF(p_reset=1,p_Tinit,E9+p_Fo*(F9+D9+E8+E10-4*E9))</f>
        <v/>
      </c>
      <c r="F9" s="8">
        <f>IF(p_reset=1,p_Tinit,F9+p_Fo*(G9+E9+F8+F10-4*F9))</f>
        <v/>
      </c>
      <c r="G9" s="8">
        <f>IF(p_reset=1,p_Tinit,G9+p_Fo*(H9+F9+G8+G10-4*G9))</f>
        <v/>
      </c>
      <c r="H9" s="8">
        <f>IF(p_reset=1,p_Tinit,H9+p_Fo*(I9+G9+H8+H10-4*H9))</f>
        <v/>
      </c>
      <c r="I9" s="8">
        <f>IF(p_reset=1,p_Tinit,I9+p_Fo*(J9+H9+I8+I10-4*I9))</f>
        <v/>
      </c>
      <c r="J9" s="8">
        <f>IF(p_reset=1,p_Tinit,J9+p_Fo*(K9+I9+J8+J10-4*J9))</f>
        <v/>
      </c>
      <c r="K9" s="8">
        <f>IF(p_reset=1,p_Tinit,K9+p_Fo*(L9+J9+K8+K10-4*K9))</f>
        <v/>
      </c>
      <c r="L9" s="8">
        <f>IF(p_reset=1,p_Tinit,L9+p_Fo*(M9+K9+L8+L10-4*L9))</f>
        <v/>
      </c>
      <c r="M9" s="8">
        <f>IF(p_reset=1,p_Tinit,M9+p_Fo*(N9+L9+M8+M10-4*M9))</f>
        <v/>
      </c>
      <c r="N9" s="8">
        <f>IF(p_reset=1,p_Tinit,N9+p_Fo*(O9+M9+N8+N10-4*N9))</f>
        <v/>
      </c>
      <c r="O9" s="8">
        <f>IF(p_reset=1,p_Tinit,O9+p_Fo*(P9+N9+O8+O10-4*O9))</f>
        <v/>
      </c>
      <c r="P9" s="8">
        <f>IF(p_reset=1,p_Tinit,P9+p_Fo*(Q9+O9+P8+P10-4*P9))</f>
        <v/>
      </c>
      <c r="Q9" s="8">
        <f>IF(p_reset=1,p_Tinit,Q9+p_Fo*(R9+P9+Q8+Q10-4*Q9))</f>
        <v/>
      </c>
      <c r="R9" s="8">
        <f>IF(p_reset=1,p_Tinit,R9+p_Fo*(S9+Q9+R8+R10-4*R9))</f>
        <v/>
      </c>
      <c r="S9" s="8">
        <f>IF(p_reset=1,p_Tinit,S9+p_Fo*(T9+R9+S8+S10-4*S9))</f>
        <v/>
      </c>
      <c r="T9" s="8">
        <f>IF(p_reset=1,p_Tinit,T9+p_Fo*(U9+S9+T8+T10-4*T9))</f>
        <v/>
      </c>
      <c r="U9" s="8">
        <f>IF(p_reset=1,p_Tinit,U9+p_Fo*(V9+T9+U8+U10-4*U9))</f>
        <v/>
      </c>
      <c r="V9" s="8">
        <f>p_Tright</f>
        <v/>
      </c>
    </row>
    <row r="10">
      <c r="A10" s="7">
        <f>A9-p_h</f>
        <v/>
      </c>
      <c r="B10" s="8">
        <f>p_Tleft</f>
        <v/>
      </c>
      <c r="C10" s="8">
        <f>IF(p_reset=1,p_Tinit,C10+p_Fo*(D10+B10+C9+C11-4*C10))</f>
        <v/>
      </c>
      <c r="D10" s="8">
        <f>IF(p_reset=1,p_Tinit,D10+p_Fo*(E10+C10+D9+D11-4*D10))</f>
        <v/>
      </c>
      <c r="E10" s="8">
        <f>IF(p_reset=1,p_Tinit,E10+p_Fo*(F10+D10+E9+E11-4*E10))</f>
        <v/>
      </c>
      <c r="F10" s="8">
        <f>IF(p_reset=1,p_Tinit,F10+p_Fo*(G10+E10+F9+F11-4*F10))</f>
        <v/>
      </c>
      <c r="G10" s="8">
        <f>IF(p_reset=1,p_Tinit,G10+p_Fo*(H10+F10+G9+G11-4*G10))</f>
        <v/>
      </c>
      <c r="H10" s="8">
        <f>IF(p_reset=1,p_Tinit,H10+p_Fo*(I10+G10+H9+H11-4*H10))</f>
        <v/>
      </c>
      <c r="I10" s="8">
        <f>IF(p_reset=1,p_Tinit,I10+p_Fo*(J10+H10+I9+I11-4*I10))</f>
        <v/>
      </c>
      <c r="J10" s="8">
        <f>IF(p_reset=1,p_Tinit,J10+p_Fo*(K10+I10+J9+J11-4*J10))</f>
        <v/>
      </c>
      <c r="K10" s="8">
        <f>IF(p_reset=1,p_Tinit,K10+p_Fo*(L10+J10+K9+K11-4*K10))</f>
        <v/>
      </c>
      <c r="L10" s="8">
        <f>IF(p_reset=1,p_Tinit,L10+p_Fo*(M10+K10+L9+L11-4*L10))</f>
        <v/>
      </c>
      <c r="M10" s="8">
        <f>IF(p_reset=1,p_Tinit,M10+p_Fo*(N10+L10+M9+M11-4*M10))</f>
        <v/>
      </c>
      <c r="N10" s="8">
        <f>IF(p_reset=1,p_Tinit,N10+p_Fo*(O10+M10+N9+N11-4*N10))</f>
        <v/>
      </c>
      <c r="O10" s="8">
        <f>IF(p_reset=1,p_Tinit,O10+p_Fo*(P10+N10+O9+O11-4*O10))</f>
        <v/>
      </c>
      <c r="P10" s="8">
        <f>IF(p_reset=1,p_Tinit,P10+p_Fo*(Q10+O10+P9+P11-4*P10))</f>
        <v/>
      </c>
      <c r="Q10" s="8">
        <f>IF(p_reset=1,p_Tinit,Q10+p_Fo*(R10+P10+Q9+Q11-4*Q10))</f>
        <v/>
      </c>
      <c r="R10" s="8">
        <f>IF(p_reset=1,p_Tinit,R10+p_Fo*(S10+Q10+R9+R11-4*R10))</f>
        <v/>
      </c>
      <c r="S10" s="8">
        <f>IF(p_reset=1,p_Tinit,S10+p_Fo*(T10+R10+S9+S11-4*S10))</f>
        <v/>
      </c>
      <c r="T10" s="8">
        <f>IF(p_reset=1,p_Tinit,T10+p_Fo*(U10+S10+T9+T11-4*T10))</f>
        <v/>
      </c>
      <c r="U10" s="8">
        <f>IF(p_reset=1,p_Tinit,U10+p_Fo*(V10+T10+U9+U11-4*U10))</f>
        <v/>
      </c>
      <c r="V10" s="8">
        <f>p_Tright</f>
        <v/>
      </c>
    </row>
    <row r="11">
      <c r="A11" s="7">
        <f>A10-p_h</f>
        <v/>
      </c>
      <c r="B11" s="8">
        <f>p_Tleft</f>
        <v/>
      </c>
      <c r="C11" s="8">
        <f>IF(p_reset=1,p_Tinit,C11+p_Fo*(D11+B11+C10+C12-4*C11))</f>
        <v/>
      </c>
      <c r="D11" s="8">
        <f>IF(p_reset=1,p_Tinit,D11+p_Fo*(E11+C11+D10+D12-4*D11))</f>
        <v/>
      </c>
      <c r="E11" s="8">
        <f>IF(p_reset=1,p_Tinit,E11+p_Fo*(F11+D11+E10+E12-4*E11))</f>
        <v/>
      </c>
      <c r="F11" s="8">
        <f>IF(p_reset=1,p_Tinit,F11+p_Fo*(G11+E11+F10+F12-4*F11))</f>
        <v/>
      </c>
      <c r="G11" s="8">
        <f>IF(p_reset=1,p_Tinit,G11+p_Fo*(H11+F11+G10+G12-4*G11))</f>
        <v/>
      </c>
      <c r="H11" s="8">
        <f>IF(p_reset=1,p_Tinit,H11+p_Fo*(I11+G11+H10+H12-4*H11))</f>
        <v/>
      </c>
      <c r="I11" s="8">
        <f>IF(p_reset=1,p_Tinit,I11+p_Fo*(J11+H11+I10+I12-4*I11))</f>
        <v/>
      </c>
      <c r="J11" s="8">
        <f>IF(p_reset=1,p_Tinit,J11+p_Fo*(K11+I11+J10+J12-4*J11))</f>
        <v/>
      </c>
      <c r="K11" s="8">
        <f>IF(p_reset=1,p_Tinit,K11+p_Fo*(L11+J11+K10+K12-4*K11))</f>
        <v/>
      </c>
      <c r="L11" s="8">
        <f>IF(p_reset=1,p_Tinit,L11+p_Fo*(M11+K11+L10+L12-4*L11))</f>
        <v/>
      </c>
      <c r="M11" s="8">
        <f>IF(p_reset=1,p_Tinit,M11+p_Fo*(N11+L11+M10+M12-4*M11))</f>
        <v/>
      </c>
      <c r="N11" s="8">
        <f>IF(p_reset=1,p_Tinit,N11+p_Fo*(O11+M11+N10+N12-4*N11))</f>
        <v/>
      </c>
      <c r="O11" s="8">
        <f>IF(p_reset=1,p_Tinit,O11+p_Fo*(P11+N11+O10+O12-4*O11))</f>
        <v/>
      </c>
      <c r="P11" s="8">
        <f>IF(p_reset=1,p_Tinit,P11+p_Fo*(Q11+O11+P10+P12-4*P11))</f>
        <v/>
      </c>
      <c r="Q11" s="8">
        <f>IF(p_reset=1,p_Tinit,Q11+p_Fo*(R11+P11+Q10+Q12-4*Q11))</f>
        <v/>
      </c>
      <c r="R11" s="8">
        <f>IF(p_reset=1,p_Tinit,R11+p_Fo*(S11+Q11+R10+R12-4*R11))</f>
        <v/>
      </c>
      <c r="S11" s="8">
        <f>IF(p_reset=1,p_Tinit,S11+p_Fo*(T11+R11+S10+S12-4*S11))</f>
        <v/>
      </c>
      <c r="T11" s="8">
        <f>IF(p_reset=1,p_Tinit,T11+p_Fo*(U11+S11+T10+T12-4*T11))</f>
        <v/>
      </c>
      <c r="U11" s="8">
        <f>IF(p_reset=1,p_Tinit,U11+p_Fo*(V11+T11+U10+U12-4*U11))</f>
        <v/>
      </c>
      <c r="V11" s="8">
        <f>p_Tright</f>
        <v/>
      </c>
    </row>
    <row r="12">
      <c r="A12" s="7">
        <f>A11-p_h</f>
        <v/>
      </c>
      <c r="B12" s="8">
        <f>p_Tleft</f>
        <v/>
      </c>
      <c r="C12" s="8">
        <f>IF(p_reset=1,p_Tinit,C12+p_Fo*(D12+B12+C11+C13-4*C12))</f>
        <v/>
      </c>
      <c r="D12" s="8">
        <f>IF(p_reset=1,p_Tinit,D12+p_Fo*(E12+C12+D11+D13-4*D12))</f>
        <v/>
      </c>
      <c r="E12" s="8">
        <f>IF(p_reset=1,p_Tinit,E12+p_Fo*(F12+D12+E11+E13-4*E12))</f>
        <v/>
      </c>
      <c r="F12" s="8">
        <f>IF(p_reset=1,p_Tinit,F12+p_Fo*(G12+E12+F11+F13-4*F12))</f>
        <v/>
      </c>
      <c r="G12" s="8">
        <f>IF(p_reset=1,p_Tinit,G12+p_Fo*(H12+F12+G11+G13-4*G12))</f>
        <v/>
      </c>
      <c r="H12" s="8">
        <f>IF(p_reset=1,p_Tinit,H12+p_Fo*(I12+G12+H11+H13-4*H12))</f>
        <v/>
      </c>
      <c r="I12" s="8">
        <f>IF(p_reset=1,p_Tinit,I12+p_Fo*(J12+H12+I11+I13-4*I12))</f>
        <v/>
      </c>
      <c r="J12" s="8">
        <f>IF(p_reset=1,p_Tinit,J12+p_Fo*(K12+I12+J11+J13-4*J12))</f>
        <v/>
      </c>
      <c r="K12" s="8">
        <f>IF(p_reset=1,p_Tinit,K12+p_Fo*(L12+J12+K11+K13-4*K12))</f>
        <v/>
      </c>
      <c r="L12" s="8">
        <f>IF(p_reset=1,p_Tinit,L12+p_Fo*(M12+K12+L11+L13-4*L12))</f>
        <v/>
      </c>
      <c r="M12" s="8">
        <f>IF(p_reset=1,p_Tinit,M12+p_Fo*(N12+L12+M11+M13-4*M12))</f>
        <v/>
      </c>
      <c r="N12" s="8">
        <f>IF(p_reset=1,p_Tinit,N12+p_Fo*(O12+M12+N11+N13-4*N12))</f>
        <v/>
      </c>
      <c r="O12" s="8">
        <f>IF(p_reset=1,p_Tinit,O12+p_Fo*(P12+N12+O11+O13-4*O12))</f>
        <v/>
      </c>
      <c r="P12" s="8">
        <f>IF(p_reset=1,p_Tinit,P12+p_Fo*(Q12+O12+P11+P13-4*P12))</f>
        <v/>
      </c>
      <c r="Q12" s="8">
        <f>IF(p_reset=1,p_Tinit,Q12+p_Fo*(R12+P12+Q11+Q13-4*Q12))</f>
        <v/>
      </c>
      <c r="R12" s="8">
        <f>IF(p_reset=1,p_Tinit,R12+p_Fo*(S12+Q12+R11+R13-4*R12))</f>
        <v/>
      </c>
      <c r="S12" s="8">
        <f>IF(p_reset=1,p_Tinit,S12+p_Fo*(T12+R12+S11+S13-4*S12))</f>
        <v/>
      </c>
      <c r="T12" s="8">
        <f>IF(p_reset=1,p_Tinit,T12+p_Fo*(U12+S12+T11+T13-4*T12))</f>
        <v/>
      </c>
      <c r="U12" s="8">
        <f>IF(p_reset=1,p_Tinit,U12+p_Fo*(V12+T12+U11+U13-4*U12))</f>
        <v/>
      </c>
      <c r="V12" s="8">
        <f>p_Tright</f>
        <v/>
      </c>
    </row>
    <row r="13">
      <c r="A13" s="7">
        <f>A12-p_h</f>
        <v/>
      </c>
      <c r="B13" s="8">
        <f>p_Tleft</f>
        <v/>
      </c>
      <c r="C13" s="8">
        <f>IF(p_reset=1,p_Tinit,C13+p_Fo*(D13+B13+C12+C14-4*C13))</f>
        <v/>
      </c>
      <c r="D13" s="8">
        <f>IF(p_reset=1,p_Tinit,D13+p_Fo*(E13+C13+D12+D14-4*D13))</f>
        <v/>
      </c>
      <c r="E13" s="8">
        <f>IF(p_reset=1,p_Tinit,E13+p_Fo*(F13+D13+E12+E14-4*E13))</f>
        <v/>
      </c>
      <c r="F13" s="8">
        <f>IF(p_reset=1,p_Tinit,F13+p_Fo*(G13+E13+F12+F14-4*F13))</f>
        <v/>
      </c>
      <c r="G13" s="8">
        <f>IF(p_reset=1,p_Tinit,G13+p_Fo*(H13+F13+G12+G14-4*G13))</f>
        <v/>
      </c>
      <c r="H13" s="8">
        <f>IF(p_reset=1,p_Tinit,H13+p_Fo*(I13+G13+H12+H14-4*H13))</f>
        <v/>
      </c>
      <c r="I13" s="8">
        <f>IF(p_reset=1,p_Tinit,I13+p_Fo*(J13+H13+I12+I14-4*I13))</f>
        <v/>
      </c>
      <c r="J13" s="8">
        <f>IF(p_reset=1,p_Tinit,J13+p_Fo*(K13+I13+J12+J14-4*J13))</f>
        <v/>
      </c>
      <c r="K13" s="8">
        <f>IF(p_reset=1,p_Tinit,K13+p_Fo*(L13+J13+K12+K14-4*K13))</f>
        <v/>
      </c>
      <c r="L13" s="8">
        <f>IF(p_reset=1,p_Tinit,L13+p_Fo*(M13+K13+L12+L14-4*L13))</f>
        <v/>
      </c>
      <c r="M13" s="8">
        <f>IF(p_reset=1,p_Tinit,M13+p_Fo*(N13+L13+M12+M14-4*M13))</f>
        <v/>
      </c>
      <c r="N13" s="8">
        <f>IF(p_reset=1,p_Tinit,N13+p_Fo*(O13+M13+N12+N14-4*N13))</f>
        <v/>
      </c>
      <c r="O13" s="8">
        <f>IF(p_reset=1,p_Tinit,O13+p_Fo*(P13+N13+O12+O14-4*O13))</f>
        <v/>
      </c>
      <c r="P13" s="8">
        <f>IF(p_reset=1,p_Tinit,P13+p_Fo*(Q13+O13+P12+P14-4*P13))</f>
        <v/>
      </c>
      <c r="Q13" s="8">
        <f>IF(p_reset=1,p_Tinit,Q13+p_Fo*(R13+P13+Q12+Q14-4*Q13))</f>
        <v/>
      </c>
      <c r="R13" s="8">
        <f>IF(p_reset=1,p_Tinit,R13+p_Fo*(S13+Q13+R12+R14-4*R13))</f>
        <v/>
      </c>
      <c r="S13" s="8">
        <f>IF(p_reset=1,p_Tinit,S13+p_Fo*(T13+R13+S12+S14-4*S13))</f>
        <v/>
      </c>
      <c r="T13" s="8">
        <f>IF(p_reset=1,p_Tinit,T13+p_Fo*(U13+S13+T12+T14-4*T13))</f>
        <v/>
      </c>
      <c r="U13" s="8">
        <f>IF(p_reset=1,p_Tinit,U13+p_Fo*(V13+T13+U12+U14-4*U13))</f>
        <v/>
      </c>
      <c r="V13" s="8">
        <f>p_Tright</f>
        <v/>
      </c>
    </row>
    <row r="14">
      <c r="A14" s="7">
        <f>A13-p_h</f>
        <v/>
      </c>
      <c r="B14" s="8">
        <f>p_Tleft</f>
        <v/>
      </c>
      <c r="C14" s="8">
        <f>IF(p_reset=1,p_Tinit,C14+p_Fo*(D14+B14+C13+C15-4*C14))</f>
        <v/>
      </c>
      <c r="D14" s="8">
        <f>IF(p_reset=1,p_Tinit,D14+p_Fo*(E14+C14+D13+D15-4*D14))</f>
        <v/>
      </c>
      <c r="E14" s="8">
        <f>IF(p_reset=1,p_Tinit,E14+p_Fo*(F14+D14+E13+E15-4*E14))</f>
        <v/>
      </c>
      <c r="F14" s="8">
        <f>IF(p_reset=1,p_Tinit,F14+p_Fo*(G14+E14+F13+F15-4*F14))</f>
        <v/>
      </c>
      <c r="G14" s="8">
        <f>IF(p_reset=1,p_Tinit,G14+p_Fo*(H14+F14+G13+G15-4*G14))</f>
        <v/>
      </c>
      <c r="H14" s="8">
        <f>IF(p_reset=1,p_Tinit,H14+p_Fo*(I14+G14+H13+H15-4*H14))</f>
        <v/>
      </c>
      <c r="I14" s="8">
        <f>IF(p_reset=1,p_Tinit,I14+p_Fo*(J14+H14+I13+I15-4*I14))</f>
        <v/>
      </c>
      <c r="J14" s="8">
        <f>IF(p_reset=1,p_Tinit,J14+p_Fo*(K14+I14+J13+J15-4*J14))</f>
        <v/>
      </c>
      <c r="K14" s="8">
        <f>IF(p_reset=1,p_Tinit,K14+p_Fo*(L14+J14+K13+K15-4*K14))</f>
        <v/>
      </c>
      <c r="L14" s="8">
        <f>IF(p_reset=1,p_Tinit,L14+p_Fo*(M14+K14+L13+L15-4*L14))</f>
        <v/>
      </c>
      <c r="M14" s="8">
        <f>IF(p_reset=1,p_Tinit,M14+p_Fo*(N14+L14+M13+M15-4*M14))</f>
        <v/>
      </c>
      <c r="N14" s="8">
        <f>IF(p_reset=1,p_Tinit,N14+p_Fo*(O14+M14+N13+N15-4*N14))</f>
        <v/>
      </c>
      <c r="O14" s="8">
        <f>IF(p_reset=1,p_Tinit,O14+p_Fo*(P14+N14+O13+O15-4*O14))</f>
        <v/>
      </c>
      <c r="P14" s="8">
        <f>IF(p_reset=1,p_Tinit,P14+p_Fo*(Q14+O14+P13+P15-4*P14))</f>
        <v/>
      </c>
      <c r="Q14" s="8">
        <f>IF(p_reset=1,p_Tinit,Q14+p_Fo*(R14+P14+Q13+Q15-4*Q14))</f>
        <v/>
      </c>
      <c r="R14" s="8">
        <f>IF(p_reset=1,p_Tinit,R14+p_Fo*(S14+Q14+R13+R15-4*R14))</f>
        <v/>
      </c>
      <c r="S14" s="8">
        <f>IF(p_reset=1,p_Tinit,S14+p_Fo*(T14+R14+S13+S15-4*S14))</f>
        <v/>
      </c>
      <c r="T14" s="8">
        <f>IF(p_reset=1,p_Tinit,T14+p_Fo*(U14+S14+T13+T15-4*T14))</f>
        <v/>
      </c>
      <c r="U14" s="8">
        <f>IF(p_reset=1,p_Tinit,U14+p_Fo*(V14+T14+U13+U15-4*U14))</f>
        <v/>
      </c>
      <c r="V14" s="8">
        <f>p_Tright</f>
        <v/>
      </c>
    </row>
    <row r="15">
      <c r="A15" s="7">
        <f>A14-p_h</f>
        <v/>
      </c>
      <c r="B15" s="8">
        <f>p_Tleft</f>
        <v/>
      </c>
      <c r="C15" s="8">
        <f>IF(p_reset=1,p_Tinit,C15+p_Fo*(D15+B15+C14+C16-4*C15))</f>
        <v/>
      </c>
      <c r="D15" s="8">
        <f>IF(p_reset=1,p_Tinit,D15+p_Fo*(E15+C15+D14+D16-4*D15))</f>
        <v/>
      </c>
      <c r="E15" s="8">
        <f>IF(p_reset=1,p_Tinit,E15+p_Fo*(F15+D15+E14+E16-4*E15))</f>
        <v/>
      </c>
      <c r="F15" s="8">
        <f>IF(p_reset=1,p_Tinit,F15+p_Fo*(G15+E15+F14+F16-4*F15))</f>
        <v/>
      </c>
      <c r="G15" s="8">
        <f>IF(p_reset=1,p_Tinit,G15+p_Fo*(H15+F15+G14+G16-4*G15))</f>
        <v/>
      </c>
      <c r="H15" s="8">
        <f>IF(p_reset=1,p_Tinit,H15+p_Fo*(I15+G15+H14+H16-4*H15))</f>
        <v/>
      </c>
      <c r="I15" s="8">
        <f>IF(p_reset=1,p_Tinit,I15+p_Fo*(J15+H15+I14+I16-4*I15))</f>
        <v/>
      </c>
      <c r="J15" s="8">
        <f>IF(p_reset=1,p_Tinit,J15+p_Fo*(K15+I15+J14+J16-4*J15))</f>
        <v/>
      </c>
      <c r="K15" s="8">
        <f>IF(p_reset=1,p_Tinit,K15+p_Fo*(L15+J15+K14+K16-4*K15))</f>
        <v/>
      </c>
      <c r="L15" s="8">
        <f>IF(p_reset=1,p_Tinit,L15+p_Fo*(M15+K15+L14+L16-4*L15))</f>
        <v/>
      </c>
      <c r="M15" s="8">
        <f>IF(p_reset=1,p_Tinit,M15+p_Fo*(N15+L15+M14+M16-4*M15))</f>
        <v/>
      </c>
      <c r="N15" s="8">
        <f>IF(p_reset=1,p_Tinit,N15+p_Fo*(O15+M15+N14+N16-4*N15))</f>
        <v/>
      </c>
      <c r="O15" s="8">
        <f>IF(p_reset=1,p_Tinit,O15+p_Fo*(P15+N15+O14+O16-4*O15))</f>
        <v/>
      </c>
      <c r="P15" s="8">
        <f>IF(p_reset=1,p_Tinit,P15+p_Fo*(Q15+O15+P14+P16-4*P15))</f>
        <v/>
      </c>
      <c r="Q15" s="8">
        <f>IF(p_reset=1,p_Tinit,Q15+p_Fo*(R15+P15+Q14+Q16-4*Q15))</f>
        <v/>
      </c>
      <c r="R15" s="8">
        <f>IF(p_reset=1,p_Tinit,R15+p_Fo*(S15+Q15+R14+R16-4*R15))</f>
        <v/>
      </c>
      <c r="S15" s="8">
        <f>IF(p_reset=1,p_Tinit,S15+p_Fo*(T15+R15+S14+S16-4*S15))</f>
        <v/>
      </c>
      <c r="T15" s="8">
        <f>IF(p_reset=1,p_Tinit,T15+p_Fo*(U15+S15+T14+T16-4*T15))</f>
        <v/>
      </c>
      <c r="U15" s="8">
        <f>IF(p_reset=1,p_Tinit,U15+p_Fo*(V15+T15+U14+U16-4*U15))</f>
        <v/>
      </c>
      <c r="V15" s="8">
        <f>p_Tright</f>
        <v/>
      </c>
    </row>
    <row r="16">
      <c r="A16" s="7">
        <f>A15-p_h</f>
        <v/>
      </c>
      <c r="B16" s="8">
        <f>p_Tleft</f>
        <v/>
      </c>
      <c r="C16" s="8">
        <f>IF(p_reset=1,p_Tinit,C16+p_Fo*(D16+B16+C15+C17-4*C16))</f>
        <v/>
      </c>
      <c r="D16" s="8">
        <f>IF(p_reset=1,p_Tinit,D16+p_Fo*(E16+C16+D15+D17-4*D16))</f>
        <v/>
      </c>
      <c r="E16" s="8">
        <f>IF(p_reset=1,p_Tinit,E16+p_Fo*(F16+D16+E15+E17-4*E16))</f>
        <v/>
      </c>
      <c r="F16" s="8">
        <f>IF(p_reset=1,p_Tinit,F16+p_Fo*(G16+E16+F15+F17-4*F16))</f>
        <v/>
      </c>
      <c r="G16" s="8">
        <f>IF(p_reset=1,p_Tinit,G16+p_Fo*(H16+F16+G15+G17-4*G16))</f>
        <v/>
      </c>
      <c r="H16" s="8">
        <f>IF(p_reset=1,p_Tinit,H16+p_Fo*(I16+G16+H15+H17-4*H16))</f>
        <v/>
      </c>
      <c r="I16" s="8">
        <f>IF(p_reset=1,p_Tinit,I16+p_Fo*(J16+H16+I15+I17-4*I16))</f>
        <v/>
      </c>
      <c r="J16" s="8">
        <f>IF(p_reset=1,p_Tinit,J16+p_Fo*(K16+I16+J15+J17-4*J16))</f>
        <v/>
      </c>
      <c r="K16" s="8">
        <f>IF(p_reset=1,p_Tinit,K16+p_Fo*(L16+J16+K15+K17-4*K16))</f>
        <v/>
      </c>
      <c r="L16" s="8">
        <f>IF(p_reset=1,p_Tinit,L16+p_Fo*(M16+K16+L15+L17-4*L16))</f>
        <v/>
      </c>
      <c r="M16" s="8">
        <f>IF(p_reset=1,p_Tinit,M16+p_Fo*(N16+L16+M15+M17-4*M16))</f>
        <v/>
      </c>
      <c r="N16" s="8">
        <f>IF(p_reset=1,p_Tinit,N16+p_Fo*(O16+M16+N15+N17-4*N16))</f>
        <v/>
      </c>
      <c r="O16" s="8">
        <f>IF(p_reset=1,p_Tinit,O16+p_Fo*(P16+N16+O15+O17-4*O16))</f>
        <v/>
      </c>
      <c r="P16" s="8">
        <f>IF(p_reset=1,p_Tinit,P16+p_Fo*(Q16+O16+P15+P17-4*P16))</f>
        <v/>
      </c>
      <c r="Q16" s="8">
        <f>IF(p_reset=1,p_Tinit,Q16+p_Fo*(R16+P16+Q15+Q17-4*Q16))</f>
        <v/>
      </c>
      <c r="R16" s="8">
        <f>IF(p_reset=1,p_Tinit,R16+p_Fo*(S16+Q16+R15+R17-4*R16))</f>
        <v/>
      </c>
      <c r="S16" s="8">
        <f>IF(p_reset=1,p_Tinit,S16+p_Fo*(T16+R16+S15+S17-4*S16))</f>
        <v/>
      </c>
      <c r="T16" s="8">
        <f>IF(p_reset=1,p_Tinit,T16+p_Fo*(U16+S16+T15+T17-4*T16))</f>
        <v/>
      </c>
      <c r="U16" s="8">
        <f>IF(p_reset=1,p_Tinit,U16+p_Fo*(V16+T16+U15+U17-4*U16))</f>
        <v/>
      </c>
      <c r="V16" s="8">
        <f>p_Tright</f>
        <v/>
      </c>
    </row>
    <row r="17">
      <c r="A17" s="7">
        <f>A16-p_h</f>
        <v/>
      </c>
      <c r="B17" s="8">
        <f>p_Tleft</f>
        <v/>
      </c>
      <c r="C17" s="8">
        <f>IF(p_reset=1,p_Tinit,C17+p_Fo*(D17+B17+C16+C18-4*C17))</f>
        <v/>
      </c>
      <c r="D17" s="8">
        <f>IF(p_reset=1,p_Tinit,D17+p_Fo*(E17+C17+D16+D18-4*D17))</f>
        <v/>
      </c>
      <c r="E17" s="8">
        <f>IF(p_reset=1,p_Tinit,E17+p_Fo*(F17+D17+E16+E18-4*E17))</f>
        <v/>
      </c>
      <c r="F17" s="8">
        <f>IF(p_reset=1,p_Tinit,F17+p_Fo*(G17+E17+F16+F18-4*F17))</f>
        <v/>
      </c>
      <c r="G17" s="8">
        <f>IF(p_reset=1,p_Tinit,G17+p_Fo*(H17+F17+G16+G18-4*G17))</f>
        <v/>
      </c>
      <c r="H17" s="8">
        <f>IF(p_reset=1,p_Tinit,H17+p_Fo*(I17+G17+H16+H18-4*H17))</f>
        <v/>
      </c>
      <c r="I17" s="8">
        <f>IF(p_reset=1,p_Tinit,I17+p_Fo*(J17+H17+I16+I18-4*I17))</f>
        <v/>
      </c>
      <c r="J17" s="8">
        <f>IF(p_reset=1,p_Tinit,J17+p_Fo*(K17+I17+J16+J18-4*J17))</f>
        <v/>
      </c>
      <c r="K17" s="8">
        <f>IF(p_reset=1,p_Tinit,K17+p_Fo*(L17+J17+K16+K18-4*K17))</f>
        <v/>
      </c>
      <c r="L17" s="8">
        <f>IF(p_reset=1,p_Tinit,L17+p_Fo*(M17+K17+L16+L18-4*L17))</f>
        <v/>
      </c>
      <c r="M17" s="8">
        <f>IF(p_reset=1,p_Tinit,M17+p_Fo*(N17+L17+M16+M18-4*M17))</f>
        <v/>
      </c>
      <c r="N17" s="8">
        <f>IF(p_reset=1,p_Tinit,N17+p_Fo*(O17+M17+N16+N18-4*N17))</f>
        <v/>
      </c>
      <c r="O17" s="8">
        <f>IF(p_reset=1,p_Tinit,O17+p_Fo*(P17+N17+O16+O18-4*O17))</f>
        <v/>
      </c>
      <c r="P17" s="8">
        <f>IF(p_reset=1,p_Tinit,P17+p_Fo*(Q17+O17+P16+P18-4*P17))</f>
        <v/>
      </c>
      <c r="Q17" s="8">
        <f>IF(p_reset=1,p_Tinit,Q17+p_Fo*(R17+P17+Q16+Q18-4*Q17))</f>
        <v/>
      </c>
      <c r="R17" s="8">
        <f>IF(p_reset=1,p_Tinit,R17+p_Fo*(S17+Q17+R16+R18-4*R17))</f>
        <v/>
      </c>
      <c r="S17" s="8">
        <f>IF(p_reset=1,p_Tinit,S17+p_Fo*(T17+R17+S16+S18-4*S17))</f>
        <v/>
      </c>
      <c r="T17" s="8">
        <f>IF(p_reset=1,p_Tinit,T17+p_Fo*(U17+S17+T16+T18-4*T17))</f>
        <v/>
      </c>
      <c r="U17" s="8">
        <f>IF(p_reset=1,p_Tinit,U17+p_Fo*(V17+T17+U16+U18-4*U17))</f>
        <v/>
      </c>
      <c r="V17" s="8">
        <f>p_Tright</f>
        <v/>
      </c>
    </row>
    <row r="18">
      <c r="A18" s="7">
        <f>A17-p_h</f>
        <v/>
      </c>
      <c r="B18" s="8">
        <f>p_Tleft</f>
        <v/>
      </c>
      <c r="C18" s="8">
        <f>IF(p_reset=1,p_Tinit,C18+p_Fo*(D18+B18+C17+C19-4*C18))</f>
        <v/>
      </c>
      <c r="D18" s="8">
        <f>IF(p_reset=1,p_Tinit,D18+p_Fo*(E18+C18+D17+D19-4*D18))</f>
        <v/>
      </c>
      <c r="E18" s="8">
        <f>IF(p_reset=1,p_Tinit,E18+p_Fo*(F18+D18+E17+E19-4*E18))</f>
        <v/>
      </c>
      <c r="F18" s="8">
        <f>IF(p_reset=1,p_Tinit,F18+p_Fo*(G18+E18+F17+F19-4*F18))</f>
        <v/>
      </c>
      <c r="G18" s="8">
        <f>IF(p_reset=1,p_Tinit,G18+p_Fo*(H18+F18+G17+G19-4*G18))</f>
        <v/>
      </c>
      <c r="H18" s="8">
        <f>IF(p_reset=1,p_Tinit,H18+p_Fo*(I18+G18+H17+H19-4*H18))</f>
        <v/>
      </c>
      <c r="I18" s="8">
        <f>IF(p_reset=1,p_Tinit,I18+p_Fo*(J18+H18+I17+I19-4*I18))</f>
        <v/>
      </c>
      <c r="J18" s="8">
        <f>IF(p_reset=1,p_Tinit,J18+p_Fo*(K18+I18+J17+J19-4*J18))</f>
        <v/>
      </c>
      <c r="K18" s="8">
        <f>IF(p_reset=1,p_Tinit,K18+p_Fo*(L18+J18+K17+K19-4*K18))</f>
        <v/>
      </c>
      <c r="L18" s="8">
        <f>IF(p_reset=1,p_Tinit,L18+p_Fo*(M18+K18+L17+L19-4*L18))</f>
        <v/>
      </c>
      <c r="M18" s="8">
        <f>IF(p_reset=1,p_Tinit,M18+p_Fo*(N18+L18+M17+M19-4*M18))</f>
        <v/>
      </c>
      <c r="N18" s="8">
        <f>IF(p_reset=1,p_Tinit,N18+p_Fo*(O18+M18+N17+N19-4*N18))</f>
        <v/>
      </c>
      <c r="O18" s="8">
        <f>IF(p_reset=1,p_Tinit,O18+p_Fo*(P18+N18+O17+O19-4*O18))</f>
        <v/>
      </c>
      <c r="P18" s="8">
        <f>IF(p_reset=1,p_Tinit,P18+p_Fo*(Q18+O18+P17+P19-4*P18))</f>
        <v/>
      </c>
      <c r="Q18" s="8">
        <f>IF(p_reset=1,p_Tinit,Q18+p_Fo*(R18+P18+Q17+Q19-4*Q18))</f>
        <v/>
      </c>
      <c r="R18" s="8">
        <f>IF(p_reset=1,p_Tinit,R18+p_Fo*(S18+Q18+R17+R19-4*R18))</f>
        <v/>
      </c>
      <c r="S18" s="8">
        <f>IF(p_reset=1,p_Tinit,S18+p_Fo*(T18+R18+S17+S19-4*S18))</f>
        <v/>
      </c>
      <c r="T18" s="8">
        <f>IF(p_reset=1,p_Tinit,T18+p_Fo*(U18+S18+T17+T19-4*T18))</f>
        <v/>
      </c>
      <c r="U18" s="8">
        <f>IF(p_reset=1,p_Tinit,U18+p_Fo*(V18+T18+U17+U19-4*U18))</f>
        <v/>
      </c>
      <c r="V18" s="8">
        <f>p_Tright</f>
        <v/>
      </c>
    </row>
    <row r="19">
      <c r="A19" s="7">
        <f>A18-p_h</f>
        <v/>
      </c>
      <c r="B19" s="8">
        <f>p_Tleft</f>
        <v/>
      </c>
      <c r="C19" s="8">
        <f>IF(p_reset=1,p_Tinit,C19+p_Fo*(D19+B19+C18+C20-4*C19))</f>
        <v/>
      </c>
      <c r="D19" s="8">
        <f>IF(p_reset=1,p_Tinit,D19+p_Fo*(E19+C19+D18+D20-4*D19))</f>
        <v/>
      </c>
      <c r="E19" s="8">
        <f>IF(p_reset=1,p_Tinit,E19+p_Fo*(F19+D19+E18+E20-4*E19))</f>
        <v/>
      </c>
      <c r="F19" s="8">
        <f>IF(p_reset=1,p_Tinit,F19+p_Fo*(G19+E19+F18+F20-4*F19))</f>
        <v/>
      </c>
      <c r="G19" s="8">
        <f>IF(p_reset=1,p_Tinit,G19+p_Fo*(H19+F19+G18+G20-4*G19))</f>
        <v/>
      </c>
      <c r="H19" s="8">
        <f>IF(p_reset=1,p_Tinit,H19+p_Fo*(I19+G19+H18+H20-4*H19))</f>
        <v/>
      </c>
      <c r="I19" s="8">
        <f>IF(p_reset=1,p_Tinit,I19+p_Fo*(J19+H19+I18+I20-4*I19))</f>
        <v/>
      </c>
      <c r="J19" s="8">
        <f>IF(p_reset=1,p_Tinit,J19+p_Fo*(K19+I19+J18+J20-4*J19))</f>
        <v/>
      </c>
      <c r="K19" s="8">
        <f>IF(p_reset=1,p_Tinit,K19+p_Fo*(L19+J19+K18+K20-4*K19))</f>
        <v/>
      </c>
      <c r="L19" s="8">
        <f>IF(p_reset=1,p_Tinit,L19+p_Fo*(M19+K19+L18+L20-4*L19))</f>
        <v/>
      </c>
      <c r="M19" s="8">
        <f>IF(p_reset=1,p_Tinit,M19+p_Fo*(N19+L19+M18+M20-4*M19))</f>
        <v/>
      </c>
      <c r="N19" s="8">
        <f>IF(p_reset=1,p_Tinit,N19+p_Fo*(O19+M19+N18+N20-4*N19))</f>
        <v/>
      </c>
      <c r="O19" s="8">
        <f>IF(p_reset=1,p_Tinit,O19+p_Fo*(P19+N19+O18+O20-4*O19))</f>
        <v/>
      </c>
      <c r="P19" s="8">
        <f>IF(p_reset=1,p_Tinit,P19+p_Fo*(Q19+O19+P18+P20-4*P19))</f>
        <v/>
      </c>
      <c r="Q19" s="8">
        <f>IF(p_reset=1,p_Tinit,Q19+p_Fo*(R19+P19+Q18+Q20-4*Q19))</f>
        <v/>
      </c>
      <c r="R19" s="8">
        <f>IF(p_reset=1,p_Tinit,R19+p_Fo*(S19+Q19+R18+R20-4*R19))</f>
        <v/>
      </c>
      <c r="S19" s="8">
        <f>IF(p_reset=1,p_Tinit,S19+p_Fo*(T19+R19+S18+S20-4*S19))</f>
        <v/>
      </c>
      <c r="T19" s="8">
        <f>IF(p_reset=1,p_Tinit,T19+p_Fo*(U19+S19+T18+T20-4*T19))</f>
        <v/>
      </c>
      <c r="U19" s="8">
        <f>IF(p_reset=1,p_Tinit,U19+p_Fo*(V19+T19+U18+U20-4*U19))</f>
        <v/>
      </c>
      <c r="V19" s="8">
        <f>p_Tright</f>
        <v/>
      </c>
    </row>
    <row r="20">
      <c r="A20" s="7">
        <f>A19-p_h</f>
        <v/>
      </c>
      <c r="B20" s="8">
        <f>p_Tleft</f>
        <v/>
      </c>
      <c r="C20" s="8">
        <f>IF(p_reset=1,p_Tinit,C20+p_Fo*(D20+B20+C19+C21-4*C20))</f>
        <v/>
      </c>
      <c r="D20" s="8">
        <f>IF(p_reset=1,p_Tinit,D20+p_Fo*(E20+C20+D19+D21-4*D20))</f>
        <v/>
      </c>
      <c r="E20" s="8">
        <f>IF(p_reset=1,p_Tinit,E20+p_Fo*(F20+D20+E19+E21-4*E20))</f>
        <v/>
      </c>
      <c r="F20" s="8">
        <f>IF(p_reset=1,p_Tinit,F20+p_Fo*(G20+E20+F19+F21-4*F20))</f>
        <v/>
      </c>
      <c r="G20" s="8">
        <f>IF(p_reset=1,p_Tinit,G20+p_Fo*(H20+F20+G19+G21-4*G20))</f>
        <v/>
      </c>
      <c r="H20" s="8">
        <f>IF(p_reset=1,p_Tinit,H20+p_Fo*(I20+G20+H19+H21-4*H20))</f>
        <v/>
      </c>
      <c r="I20" s="8">
        <f>IF(p_reset=1,p_Tinit,I20+p_Fo*(J20+H20+I19+I21-4*I20))</f>
        <v/>
      </c>
      <c r="J20" s="8">
        <f>IF(p_reset=1,p_Tinit,J20+p_Fo*(K20+I20+J19+J21-4*J20))</f>
        <v/>
      </c>
      <c r="K20" s="8">
        <f>IF(p_reset=1,p_Tinit,K20+p_Fo*(L20+J20+K19+K21-4*K20))</f>
        <v/>
      </c>
      <c r="L20" s="8">
        <f>IF(p_reset=1,p_Tinit,L20+p_Fo*(M20+K20+L19+L21-4*L20))</f>
        <v/>
      </c>
      <c r="M20" s="8">
        <f>IF(p_reset=1,p_Tinit,M20+p_Fo*(N20+L20+M19+M21-4*M20))</f>
        <v/>
      </c>
      <c r="N20" s="8">
        <f>IF(p_reset=1,p_Tinit,N20+p_Fo*(O20+M20+N19+N21-4*N20))</f>
        <v/>
      </c>
      <c r="O20" s="8">
        <f>IF(p_reset=1,p_Tinit,O20+p_Fo*(P20+N20+O19+O21-4*O20))</f>
        <v/>
      </c>
      <c r="P20" s="8">
        <f>IF(p_reset=1,p_Tinit,P20+p_Fo*(Q20+O20+P19+P21-4*P20))</f>
        <v/>
      </c>
      <c r="Q20" s="8">
        <f>IF(p_reset=1,p_Tinit,Q20+p_Fo*(R20+P20+Q19+Q21-4*Q20))</f>
        <v/>
      </c>
      <c r="R20" s="8">
        <f>IF(p_reset=1,p_Tinit,R20+p_Fo*(S20+Q20+R19+R21-4*R20))</f>
        <v/>
      </c>
      <c r="S20" s="8">
        <f>IF(p_reset=1,p_Tinit,S20+p_Fo*(T20+R20+S19+S21-4*S20))</f>
        <v/>
      </c>
      <c r="T20" s="8">
        <f>IF(p_reset=1,p_Tinit,T20+p_Fo*(U20+S20+T19+T21-4*T20))</f>
        <v/>
      </c>
      <c r="U20" s="8">
        <f>IF(p_reset=1,p_Tinit,U20+p_Fo*(V20+T20+U19+U21-4*U20))</f>
        <v/>
      </c>
      <c r="V20" s="8">
        <f>p_Tright</f>
        <v/>
      </c>
    </row>
    <row r="21">
      <c r="A21" s="7">
        <f>A20-p_h</f>
        <v/>
      </c>
      <c r="B21" s="8">
        <f>p_Tleft</f>
        <v/>
      </c>
      <c r="C21" s="8">
        <f>IF(p_reset=1,p_Tinit,C21+p_Fo*(D21+B21+C20+C22-4*C21))</f>
        <v/>
      </c>
      <c r="D21" s="8">
        <f>IF(p_reset=1,p_Tinit,D21+p_Fo*(E21+C21+D20+D22-4*D21))</f>
        <v/>
      </c>
      <c r="E21" s="8">
        <f>IF(p_reset=1,p_Tinit,E21+p_Fo*(F21+D21+E20+E22-4*E21))</f>
        <v/>
      </c>
      <c r="F21" s="8">
        <f>IF(p_reset=1,p_Tinit,F21+p_Fo*(G21+E21+F20+F22-4*F21))</f>
        <v/>
      </c>
      <c r="G21" s="8">
        <f>IF(p_reset=1,p_Tinit,G21+p_Fo*(H21+F21+G20+G22-4*G21))</f>
        <v/>
      </c>
      <c r="H21" s="8">
        <f>IF(p_reset=1,p_Tinit,H21+p_Fo*(I21+G21+H20+H22-4*H21))</f>
        <v/>
      </c>
      <c r="I21" s="8">
        <f>IF(p_reset=1,p_Tinit,I21+p_Fo*(J21+H21+I20+I22-4*I21))</f>
        <v/>
      </c>
      <c r="J21" s="8">
        <f>IF(p_reset=1,p_Tinit,J21+p_Fo*(K21+I21+J20+J22-4*J21))</f>
        <v/>
      </c>
      <c r="K21" s="8">
        <f>IF(p_reset=1,p_Tinit,K21+p_Fo*(L21+J21+K20+K22-4*K21))</f>
        <v/>
      </c>
      <c r="L21" s="8">
        <f>IF(p_reset=1,p_Tinit,L21+p_Fo*(M21+K21+L20+L22-4*L21))</f>
        <v/>
      </c>
      <c r="M21" s="8">
        <f>IF(p_reset=1,p_Tinit,M21+p_Fo*(N21+L21+M20+M22-4*M21))</f>
        <v/>
      </c>
      <c r="N21" s="8">
        <f>IF(p_reset=1,p_Tinit,N21+p_Fo*(O21+M21+N20+N22-4*N21))</f>
        <v/>
      </c>
      <c r="O21" s="8">
        <f>IF(p_reset=1,p_Tinit,O21+p_Fo*(P21+N21+O20+O22-4*O21))</f>
        <v/>
      </c>
      <c r="P21" s="8">
        <f>IF(p_reset=1,p_Tinit,P21+p_Fo*(Q21+O21+P20+P22-4*P21))</f>
        <v/>
      </c>
      <c r="Q21" s="8">
        <f>IF(p_reset=1,p_Tinit,Q21+p_Fo*(R21+P21+Q20+Q22-4*Q21))</f>
        <v/>
      </c>
      <c r="R21" s="8">
        <f>IF(p_reset=1,p_Tinit,R21+p_Fo*(S21+Q21+R20+R22-4*R21))</f>
        <v/>
      </c>
      <c r="S21" s="8">
        <f>IF(p_reset=1,p_Tinit,S21+p_Fo*(T21+R21+S20+S22-4*S21))</f>
        <v/>
      </c>
      <c r="T21" s="8">
        <f>IF(p_reset=1,p_Tinit,T21+p_Fo*(U21+S21+T20+T22-4*T21))</f>
        <v/>
      </c>
      <c r="U21" s="8">
        <f>IF(p_reset=1,p_Tinit,U21+p_Fo*(V21+T21+U20+U22-4*U21))</f>
        <v/>
      </c>
      <c r="V21" s="8">
        <f>p_Tright</f>
        <v/>
      </c>
    </row>
    <row r="22">
      <c r="A22" s="7">
        <f>A21-p_h</f>
        <v/>
      </c>
      <c r="B22" s="8">
        <f>p_Tleft</f>
        <v/>
      </c>
      <c r="C22" s="8">
        <f>IF(p_reset=1,p_Tinit,C22+p_Fo*(D22+B22+C21+C23-4*C22))</f>
        <v/>
      </c>
      <c r="D22" s="8">
        <f>IF(p_reset=1,p_Tinit,D22+p_Fo*(E22+C22+D21+D23-4*D22))</f>
        <v/>
      </c>
      <c r="E22" s="8">
        <f>IF(p_reset=1,p_Tinit,E22+p_Fo*(F22+D22+E21+E23-4*E22))</f>
        <v/>
      </c>
      <c r="F22" s="8">
        <f>IF(p_reset=1,p_Tinit,F22+p_Fo*(G22+E22+F21+F23-4*F22))</f>
        <v/>
      </c>
      <c r="G22" s="8">
        <f>IF(p_reset=1,p_Tinit,G22+p_Fo*(H22+F22+G21+G23-4*G22))</f>
        <v/>
      </c>
      <c r="H22" s="8">
        <f>IF(p_reset=1,p_Tinit,H22+p_Fo*(I22+G22+H21+H23-4*H22))</f>
        <v/>
      </c>
      <c r="I22" s="8">
        <f>IF(p_reset=1,p_Tinit,I22+p_Fo*(J22+H22+I21+I23-4*I22))</f>
        <v/>
      </c>
      <c r="J22" s="8">
        <f>IF(p_reset=1,p_Tinit,J22+p_Fo*(K22+I22+J21+J23-4*J22))</f>
        <v/>
      </c>
      <c r="K22" s="8">
        <f>IF(p_reset=1,p_Tinit,K22+p_Fo*(L22+J22+K21+K23-4*K22))</f>
        <v/>
      </c>
      <c r="L22" s="8">
        <f>IF(p_reset=1,p_Tinit,L22+p_Fo*(M22+K22+L21+L23-4*L22))</f>
        <v/>
      </c>
      <c r="M22" s="8">
        <f>IF(p_reset=1,p_Tinit,M22+p_Fo*(N22+L22+M21+M23-4*M22))</f>
        <v/>
      </c>
      <c r="N22" s="8">
        <f>IF(p_reset=1,p_Tinit,N22+p_Fo*(O22+M22+N21+N23-4*N22))</f>
        <v/>
      </c>
      <c r="O22" s="8">
        <f>IF(p_reset=1,p_Tinit,O22+p_Fo*(P22+N22+O21+O23-4*O22))</f>
        <v/>
      </c>
      <c r="P22" s="8">
        <f>IF(p_reset=1,p_Tinit,P22+p_Fo*(Q22+O22+P21+P23-4*P22))</f>
        <v/>
      </c>
      <c r="Q22" s="8">
        <f>IF(p_reset=1,p_Tinit,Q22+p_Fo*(R22+P22+Q21+Q23-4*Q22))</f>
        <v/>
      </c>
      <c r="R22" s="8">
        <f>IF(p_reset=1,p_Tinit,R22+p_Fo*(S22+Q22+R21+R23-4*R22))</f>
        <v/>
      </c>
      <c r="S22" s="8">
        <f>IF(p_reset=1,p_Tinit,S22+p_Fo*(T22+R22+S21+S23-4*S22))</f>
        <v/>
      </c>
      <c r="T22" s="8">
        <f>IF(p_reset=1,p_Tinit,T22+p_Fo*(U22+S22+T21+T23-4*T22))</f>
        <v/>
      </c>
      <c r="U22" s="8">
        <f>IF(p_reset=1,p_Tinit,U22+p_Fo*(V22+T22+U21+U23-4*U22))</f>
        <v/>
      </c>
      <c r="V22" s="8">
        <f>p_Tright</f>
        <v/>
      </c>
    </row>
    <row r="23">
      <c r="A23" s="7">
        <f>A22-p_h</f>
        <v/>
      </c>
      <c r="B23" s="8">
        <f>AVERAGE(p_Tbottom,p_Tleft)</f>
        <v/>
      </c>
      <c r="C23" s="8">
        <f>p_Tbottom</f>
        <v/>
      </c>
      <c r="D23" s="8">
        <f>p_Tbottom</f>
        <v/>
      </c>
      <c r="E23" s="8">
        <f>p_Tbottom</f>
        <v/>
      </c>
      <c r="F23" s="8">
        <f>p_Tbottom</f>
        <v/>
      </c>
      <c r="G23" s="8">
        <f>p_Tbottom</f>
        <v/>
      </c>
      <c r="H23" s="8">
        <f>p_Tbottom</f>
        <v/>
      </c>
      <c r="I23" s="8">
        <f>p_Tbottom</f>
        <v/>
      </c>
      <c r="J23" s="8">
        <f>p_Tbottom</f>
        <v/>
      </c>
      <c r="K23" s="8">
        <f>p_Tbottom</f>
        <v/>
      </c>
      <c r="L23" s="8">
        <f>p_Tbottom</f>
        <v/>
      </c>
      <c r="M23" s="8">
        <f>p_Tbottom</f>
        <v/>
      </c>
      <c r="N23" s="8">
        <f>p_Tbottom</f>
        <v/>
      </c>
      <c r="O23" s="8">
        <f>p_Tbottom</f>
        <v/>
      </c>
      <c r="P23" s="8">
        <f>p_Tbottom</f>
        <v/>
      </c>
      <c r="Q23" s="8">
        <f>p_Tbottom</f>
        <v/>
      </c>
      <c r="R23" s="8">
        <f>p_Tbottom</f>
        <v/>
      </c>
      <c r="S23" s="8">
        <f>p_Tbottom</f>
        <v/>
      </c>
      <c r="T23" s="8">
        <f>p_Tbottom</f>
        <v/>
      </c>
      <c r="U23" s="8">
        <f>p_Tbottom</f>
        <v/>
      </c>
      <c r="V23" s="8">
        <f>AVERAGE(p_Tbottom,p_Tright)</f>
        <v/>
      </c>
    </row>
  </sheetData>
  <conditionalFormatting sqref="B3:V23">
    <cfRule type="colorScale" priority="1">
      <colorScale>
        <cfvo type="min"/>
        <cfvo type="percentile" val="50"/>
        <cfvo type="max"/>
        <color rgb="002C7BB6"/>
        <color rgb="00FFFFBF"/>
        <color rgb="00D7191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90" customWidth="1" min="3" max="3"/>
  </cols>
  <sheetData>
    <row r="1">
      <c r="A1" s="1" t="inlineStr">
        <is>
          <t>2D transient heat conduction  -  inputs &amp; monitors</t>
        </is>
      </c>
    </row>
    <row r="2">
      <c r="A2" s="9" t="inlineStr">
        <is>
          <t>Blue on yellow = you may edit.  Black = calculated by the workbook.</t>
        </is>
      </c>
    </row>
    <row r="4">
      <c r="A4" s="10" t="inlineStr">
        <is>
          <t>RUN CONTROL</t>
        </is>
      </c>
      <c r="B4" s="11" t="n"/>
      <c r="C4" s="11" t="n"/>
    </row>
    <row r="5">
      <c r="A5" s="12" t="inlineStr">
        <is>
          <t>Reset (1 = initialise, 0 = run)</t>
        </is>
      </c>
      <c r="B5" s="13" t="n">
        <v>0</v>
      </c>
      <c r="C5" s="14" t="inlineStr">
        <is>
          <t>Set to 1 to restore the initial temperature, then back to 0 to run.</t>
        </is>
      </c>
    </row>
    <row r="6">
      <c r="A6" s="10" t="inlineStr">
        <is>
          <t>BOUNDARY / INITIAL CONDITIONS</t>
        </is>
      </c>
      <c r="B6" s="11" t="n"/>
      <c r="C6" s="11" t="n"/>
    </row>
    <row r="7">
      <c r="A7" s="12" t="inlineStr">
        <is>
          <t>T top edge [deg C]</t>
        </is>
      </c>
      <c r="B7" s="13" t="n">
        <v>100</v>
      </c>
      <c r="C7" s="14" t="inlineStr">
        <is>
          <t>Dirichlet</t>
        </is>
      </c>
    </row>
    <row r="8">
      <c r="A8" s="12" t="inlineStr">
        <is>
          <t>T bottom edge [deg C]</t>
        </is>
      </c>
      <c r="B8" s="13" t="n">
        <v>0</v>
      </c>
      <c r="C8" s="14" t="inlineStr">
        <is>
          <t>Dirichlet</t>
        </is>
      </c>
    </row>
    <row r="9">
      <c r="A9" s="12" t="inlineStr">
        <is>
          <t>T left edge [deg C]</t>
        </is>
      </c>
      <c r="B9" s="13" t="n">
        <v>0</v>
      </c>
      <c r="C9" s="14" t="inlineStr">
        <is>
          <t>Dirichlet</t>
        </is>
      </c>
    </row>
    <row r="10">
      <c r="A10" s="12" t="inlineStr">
        <is>
          <t>T right edge [deg C]</t>
        </is>
      </c>
      <c r="B10" s="13" t="n">
        <v>0</v>
      </c>
      <c r="C10" s="14" t="inlineStr">
        <is>
          <t>Dirichlet</t>
        </is>
      </c>
    </row>
    <row r="11">
      <c r="A11" s="12" t="inlineStr">
        <is>
          <t>Initial interior T [deg C]</t>
        </is>
      </c>
      <c r="B11" s="13" t="n">
        <v>0</v>
      </c>
      <c r="C11" s="14" t="inlineStr">
        <is>
          <t>Applied while Reset = 1</t>
        </is>
      </c>
    </row>
    <row r="12">
      <c r="A12" s="10" t="inlineStr">
        <is>
          <t>PHYSICS / NUMERICS</t>
        </is>
      </c>
      <c r="B12" s="11" t="n"/>
      <c r="C12" s="11" t="n"/>
    </row>
    <row r="13">
      <c r="A13" s="12" t="inlineStr">
        <is>
          <t>Thermal diffusivity alpha [m^2/s]</t>
        </is>
      </c>
      <c r="B13" s="13" t="n">
        <v>1</v>
      </c>
      <c r="C13" s="14" t="inlineStr">
        <is>
          <t>Plate is 1 m x 1 m, so the diffusion time scale is ~1 s</t>
        </is>
      </c>
    </row>
    <row r="14">
      <c r="A14" s="12" t="inlineStr">
        <is>
          <t>Time step dt [s]</t>
        </is>
      </c>
      <c r="B14" s="13" t="n">
        <v>0.0005</v>
      </c>
      <c r="C14" s="14" t="inlineStr">
        <is>
          <t>Keep Fo &lt;= 0.25 or the explicit scheme blows up</t>
        </is>
      </c>
    </row>
    <row r="15">
      <c r="A15" s="12" t="inlineStr">
        <is>
          <t>Grid nodes per side N</t>
        </is>
      </c>
      <c r="B15" s="12" t="n">
        <v>21</v>
      </c>
      <c r="C15" s="14" t="inlineStr">
        <is>
          <t>Fixed by the sheet layout; re-run generate_workbooks.py for another N</t>
        </is>
      </c>
    </row>
    <row r="16">
      <c r="A16" s="12" t="inlineStr">
        <is>
          <t>Grid spacing h [m]</t>
        </is>
      </c>
      <c r="B16" s="12">
        <f>1/(p_N-1)</f>
        <v/>
      </c>
      <c r="C16" s="14" t="inlineStr">
        <is>
          <t>Plate side length = 1 m</t>
        </is>
      </c>
    </row>
    <row r="17">
      <c r="A17" s="12" t="inlineStr">
        <is>
          <t>Fourier number Fo = alpha*dt/h^2</t>
        </is>
      </c>
      <c r="B17" s="12">
        <f>p_alpha*p_dt/p_h^2</f>
        <v/>
      </c>
      <c r="C17" s="14" t="inlineStr">
        <is>
          <t>Stability limit of FTCS in 2D: 0.25</t>
        </is>
      </c>
    </row>
    <row r="18">
      <c r="A18" s="12" t="inlineStr">
        <is>
          <t>Stability check</t>
        </is>
      </c>
      <c r="B18" s="12">
        <f>IF(p_Fo&lt;=0.25,"STABLE","UNSTABLE - reduce dt")</f>
        <v/>
      </c>
      <c r="C18" s="14" t="inlineStr"/>
    </row>
    <row r="19">
      <c r="A19" s="10" t="inlineStr">
        <is>
          <t>MONITORS</t>
        </is>
      </c>
      <c r="B19" s="11" t="n"/>
      <c r="C19" s="11" t="n"/>
    </row>
    <row r="20">
      <c r="A20" s="12" t="inlineStr">
        <is>
          <t>Mean temperature [deg C]</t>
        </is>
      </c>
      <c r="B20" s="12">
        <f>AVERAGE(T!B3:V23)</f>
        <v/>
      </c>
      <c r="C20" s="14" t="inlineStr">
        <is>
          <t>Plateaus when steady state is reached</t>
        </is>
      </c>
    </row>
    <row r="21">
      <c r="A21" s="12" t="inlineStr">
        <is>
          <t>Max temperature [deg C]</t>
        </is>
      </c>
      <c r="B21" s="12">
        <f>MAX(T!B3:V23)</f>
        <v/>
      </c>
      <c r="C21" s="14" t="inlineStr"/>
    </row>
    <row r="22">
      <c r="A22" s="12" t="inlineStr">
        <is>
          <t>Min temperature [deg C]</t>
        </is>
      </c>
      <c r="B22" s="12">
        <f>MIN(T!B3:V23)</f>
        <v/>
      </c>
      <c r="C22" s="14" t="inlineStr"/>
    </row>
    <row r="23">
      <c r="A23" s="12" t="inlineStr">
        <is>
          <t>Max |error| vs exact centreline (y&lt;1)</t>
        </is>
      </c>
      <c r="B23" s="12">
        <f>Validation!H3</f>
        <v/>
      </c>
      <c r="C23" s="14" t="inlineStr">
        <is>
          <t>Only meaningful at steady state with 3 edges at 0 deg C (see Validation sheet)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7" max="7"/>
    <col width="14" customWidth="1" min="8" max="8"/>
  </cols>
  <sheetData>
    <row r="1">
      <c r="A1" s="4" t="inlineStr">
        <is>
          <t>Centre-line (x = 0.5) temperature vs exact series solution</t>
        </is>
      </c>
    </row>
    <row r="2">
      <c r="A2" s="10" t="inlineStr">
        <is>
          <t>y [m]</t>
        </is>
      </c>
      <c r="B2" s="10" t="inlineStr">
        <is>
          <t>T simulated</t>
        </is>
      </c>
      <c r="C2" s="10" t="inlineStr">
        <is>
          <t>T exact</t>
        </is>
      </c>
      <c r="D2" s="10" t="inlineStr">
        <is>
          <t>|error|</t>
        </is>
      </c>
      <c r="G2" s="4" t="inlineStr">
        <is>
          <t>Summary</t>
        </is>
      </c>
      <c r="J2" s="4" t="inlineStr">
        <is>
          <t>Odd n</t>
        </is>
      </c>
      <c r="K2" s="4" t="inlineStr">
        <is>
          <t>n</t>
        </is>
      </c>
    </row>
    <row r="3">
      <c r="A3" s="15">
        <f>T!A3</f>
        <v/>
      </c>
      <c r="B3" s="15">
        <f>T!L3</f>
        <v/>
      </c>
      <c r="C3" s="15">
        <f>(4*p_Ttop/PI())*SUMPRODUCT(SIN($K$3:$K$42*PI()*0.5)*SINH($K$3:$K$42*PI()*A3)/SINH($K$3:$K$42*PI())/$K$3:$K$42)</f>
        <v/>
      </c>
      <c r="D3" s="15">
        <f>ABS(B3-C3)</f>
        <v/>
      </c>
      <c r="G3" s="12" t="inlineStr">
        <is>
          <t>Max |error| (y&lt;1)</t>
        </is>
      </c>
      <c r="H3" s="15">
        <f>IF(AND(p_Tbottom=0,p_Tleft=0,p_Tright=0),MAX(D4:D23),"n/a")</f>
        <v/>
      </c>
      <c r="J3" s="12" t="inlineStr">
        <is>
          <t>Series terms</t>
        </is>
      </c>
      <c r="K3" s="12" t="n">
        <v>1</v>
      </c>
    </row>
    <row r="4">
      <c r="A4" s="15">
        <f>T!A4</f>
        <v/>
      </c>
      <c r="B4" s="15">
        <f>T!L4</f>
        <v/>
      </c>
      <c r="C4" s="15">
        <f>(4*p_Ttop/PI())*SUMPRODUCT(SIN($K$3:$K$42*PI()*0.5)*SINH($K$3:$K$42*PI()*A4)/SINH($K$3:$K$42*PI())/$K$3:$K$42)</f>
        <v/>
      </c>
      <c r="D4" s="15">
        <f>ABS(B4-C4)</f>
        <v/>
      </c>
      <c r="G4" s="12" t="inlineStr">
        <is>
          <t>Valid when</t>
        </is>
      </c>
      <c r="H4" s="12" t="inlineStr">
        <is>
          <t>T bottom = T left = T right = 0, and the run has reached steady state</t>
        </is>
      </c>
      <c r="K4" s="12" t="n">
        <v>3</v>
      </c>
    </row>
    <row r="5">
      <c r="A5" s="15">
        <f>T!A5</f>
        <v/>
      </c>
      <c r="B5" s="15">
        <f>T!L5</f>
        <v/>
      </c>
      <c r="C5" s="15">
        <f>(4*p_Ttop/PI())*SUMPRODUCT(SIN($K$3:$K$42*PI()*0.5)*SINH($K$3:$K$42*PI()*A5)/SINH($K$3:$K$42*PI())/$K$3:$K$42)</f>
        <v/>
      </c>
      <c r="D5" s="15">
        <f>ABS(B5-C5)</f>
        <v/>
      </c>
      <c r="K5" s="12" t="n">
        <v>5</v>
      </c>
    </row>
    <row r="6">
      <c r="A6" s="15">
        <f>T!A6</f>
        <v/>
      </c>
      <c r="B6" s="15">
        <f>T!L6</f>
        <v/>
      </c>
      <c r="C6" s="15">
        <f>(4*p_Ttop/PI())*SUMPRODUCT(SIN($K$3:$K$42*PI()*0.5)*SINH($K$3:$K$42*PI()*A6)/SINH($K$3:$K$42*PI())/$K$3:$K$42)</f>
        <v/>
      </c>
      <c r="D6" s="15">
        <f>ABS(B6-C6)</f>
        <v/>
      </c>
      <c r="K6" s="12" t="n">
        <v>7</v>
      </c>
    </row>
    <row r="7">
      <c r="A7" s="15">
        <f>T!A7</f>
        <v/>
      </c>
      <c r="B7" s="15">
        <f>T!L7</f>
        <v/>
      </c>
      <c r="C7" s="15">
        <f>(4*p_Ttop/PI())*SUMPRODUCT(SIN($K$3:$K$42*PI()*0.5)*SINH($K$3:$K$42*PI()*A7)/SINH($K$3:$K$42*PI())/$K$3:$K$42)</f>
        <v/>
      </c>
      <c r="D7" s="15">
        <f>ABS(B7-C7)</f>
        <v/>
      </c>
      <c r="K7" s="12" t="n">
        <v>9</v>
      </c>
    </row>
    <row r="8">
      <c r="A8" s="15">
        <f>T!A8</f>
        <v/>
      </c>
      <c r="B8" s="15">
        <f>T!L8</f>
        <v/>
      </c>
      <c r="C8" s="15">
        <f>(4*p_Ttop/PI())*SUMPRODUCT(SIN($K$3:$K$42*PI()*0.5)*SINH($K$3:$K$42*PI()*A8)/SINH($K$3:$K$42*PI())/$K$3:$K$42)</f>
        <v/>
      </c>
      <c r="D8" s="15">
        <f>ABS(B8-C8)</f>
        <v/>
      </c>
      <c r="K8" s="12" t="n">
        <v>11</v>
      </c>
    </row>
    <row r="9">
      <c r="A9" s="15">
        <f>T!A9</f>
        <v/>
      </c>
      <c r="B9" s="15">
        <f>T!L9</f>
        <v/>
      </c>
      <c r="C9" s="15">
        <f>(4*p_Ttop/PI())*SUMPRODUCT(SIN($K$3:$K$42*PI()*0.5)*SINH($K$3:$K$42*PI()*A9)/SINH($K$3:$K$42*PI())/$K$3:$K$42)</f>
        <v/>
      </c>
      <c r="D9" s="15">
        <f>ABS(B9-C9)</f>
        <v/>
      </c>
      <c r="K9" s="12" t="n">
        <v>13</v>
      </c>
    </row>
    <row r="10">
      <c r="A10" s="15">
        <f>T!A10</f>
        <v/>
      </c>
      <c r="B10" s="15">
        <f>T!L10</f>
        <v/>
      </c>
      <c r="C10" s="15">
        <f>(4*p_Ttop/PI())*SUMPRODUCT(SIN($K$3:$K$42*PI()*0.5)*SINH($K$3:$K$42*PI()*A10)/SINH($K$3:$K$42*PI())/$K$3:$K$42)</f>
        <v/>
      </c>
      <c r="D10" s="15">
        <f>ABS(B10-C10)</f>
        <v/>
      </c>
      <c r="K10" s="12" t="n">
        <v>15</v>
      </c>
    </row>
    <row r="11">
      <c r="A11" s="15">
        <f>T!A11</f>
        <v/>
      </c>
      <c r="B11" s="15">
        <f>T!L11</f>
        <v/>
      </c>
      <c r="C11" s="15">
        <f>(4*p_Ttop/PI())*SUMPRODUCT(SIN($K$3:$K$42*PI()*0.5)*SINH($K$3:$K$42*PI()*A11)/SINH($K$3:$K$42*PI())/$K$3:$K$42)</f>
        <v/>
      </c>
      <c r="D11" s="15">
        <f>ABS(B11-C11)</f>
        <v/>
      </c>
      <c r="K11" s="12" t="n">
        <v>17</v>
      </c>
    </row>
    <row r="12">
      <c r="A12" s="15">
        <f>T!A12</f>
        <v/>
      </c>
      <c r="B12" s="15">
        <f>T!L12</f>
        <v/>
      </c>
      <c r="C12" s="15">
        <f>(4*p_Ttop/PI())*SUMPRODUCT(SIN($K$3:$K$42*PI()*0.5)*SINH($K$3:$K$42*PI()*A12)/SINH($K$3:$K$42*PI())/$K$3:$K$42)</f>
        <v/>
      </c>
      <c r="D12" s="15">
        <f>ABS(B12-C12)</f>
        <v/>
      </c>
      <c r="K12" s="12" t="n">
        <v>19</v>
      </c>
    </row>
    <row r="13">
      <c r="A13" s="15">
        <f>T!A13</f>
        <v/>
      </c>
      <c r="B13" s="15">
        <f>T!L13</f>
        <v/>
      </c>
      <c r="C13" s="15">
        <f>(4*p_Ttop/PI())*SUMPRODUCT(SIN($K$3:$K$42*PI()*0.5)*SINH($K$3:$K$42*PI()*A13)/SINH($K$3:$K$42*PI())/$K$3:$K$42)</f>
        <v/>
      </c>
      <c r="D13" s="15">
        <f>ABS(B13-C13)</f>
        <v/>
      </c>
      <c r="K13" s="12" t="n">
        <v>21</v>
      </c>
    </row>
    <row r="14">
      <c r="A14" s="15">
        <f>T!A14</f>
        <v/>
      </c>
      <c r="B14" s="15">
        <f>T!L14</f>
        <v/>
      </c>
      <c r="C14" s="15">
        <f>(4*p_Ttop/PI())*SUMPRODUCT(SIN($K$3:$K$42*PI()*0.5)*SINH($K$3:$K$42*PI()*A14)/SINH($K$3:$K$42*PI())/$K$3:$K$42)</f>
        <v/>
      </c>
      <c r="D14" s="15">
        <f>ABS(B14-C14)</f>
        <v/>
      </c>
      <c r="G14" s="9" t="inlineStr">
        <is>
          <t>Exact: T(x,y) = (4*Ttop/pi) * sum_{n odd} sin(n*pi*x) * sinh(n*pi*y) / (sinh(n*pi) * n), evaluated at x = 0.5 with 40 terms. The top row (y = 1) is excluded from the max error because the series itself converges slowly at the heated edge.</t>
        </is>
      </c>
      <c r="K14" s="12" t="n">
        <v>23</v>
      </c>
    </row>
    <row r="15">
      <c r="A15" s="15">
        <f>T!A15</f>
        <v/>
      </c>
      <c r="B15" s="15">
        <f>T!L15</f>
        <v/>
      </c>
      <c r="C15" s="15">
        <f>(4*p_Ttop/PI())*SUMPRODUCT(SIN($K$3:$K$42*PI()*0.5)*SINH($K$3:$K$42*PI()*A15)/SINH($K$3:$K$42*PI())/$K$3:$K$42)</f>
        <v/>
      </c>
      <c r="D15" s="15">
        <f>ABS(B15-C15)</f>
        <v/>
      </c>
      <c r="K15" s="12" t="n">
        <v>25</v>
      </c>
    </row>
    <row r="16">
      <c r="A16" s="15">
        <f>T!A16</f>
        <v/>
      </c>
      <c r="B16" s="15">
        <f>T!L16</f>
        <v/>
      </c>
      <c r="C16" s="15">
        <f>(4*p_Ttop/PI())*SUMPRODUCT(SIN($K$3:$K$42*PI()*0.5)*SINH($K$3:$K$42*PI()*A16)/SINH($K$3:$K$42*PI())/$K$3:$K$42)</f>
        <v/>
      </c>
      <c r="D16" s="15">
        <f>ABS(B16-C16)</f>
        <v/>
      </c>
      <c r="K16" s="12" t="n">
        <v>27</v>
      </c>
    </row>
    <row r="17">
      <c r="A17" s="15">
        <f>T!A17</f>
        <v/>
      </c>
      <c r="B17" s="15">
        <f>T!L17</f>
        <v/>
      </c>
      <c r="C17" s="15">
        <f>(4*p_Ttop/PI())*SUMPRODUCT(SIN($K$3:$K$42*PI()*0.5)*SINH($K$3:$K$42*PI()*A17)/SINH($K$3:$K$42*PI())/$K$3:$K$42)</f>
        <v/>
      </c>
      <c r="D17" s="15">
        <f>ABS(B17-C17)</f>
        <v/>
      </c>
      <c r="K17" s="12" t="n">
        <v>29</v>
      </c>
    </row>
    <row r="18">
      <c r="A18" s="15">
        <f>T!A18</f>
        <v/>
      </c>
      <c r="B18" s="15">
        <f>T!L18</f>
        <v/>
      </c>
      <c r="C18" s="15">
        <f>(4*p_Ttop/PI())*SUMPRODUCT(SIN($K$3:$K$42*PI()*0.5)*SINH($K$3:$K$42*PI()*A18)/SINH($K$3:$K$42*PI())/$K$3:$K$42)</f>
        <v/>
      </c>
      <c r="D18" s="15">
        <f>ABS(B18-C18)</f>
        <v/>
      </c>
      <c r="K18" s="12" t="n">
        <v>31</v>
      </c>
    </row>
    <row r="19">
      <c r="A19" s="15">
        <f>T!A19</f>
        <v/>
      </c>
      <c r="B19" s="15">
        <f>T!L19</f>
        <v/>
      </c>
      <c r="C19" s="15">
        <f>(4*p_Ttop/PI())*SUMPRODUCT(SIN($K$3:$K$42*PI()*0.5)*SINH($K$3:$K$42*PI()*A19)/SINH($K$3:$K$42*PI())/$K$3:$K$42)</f>
        <v/>
      </c>
      <c r="D19" s="15">
        <f>ABS(B19-C19)</f>
        <v/>
      </c>
      <c r="K19" s="12" t="n">
        <v>33</v>
      </c>
    </row>
    <row r="20">
      <c r="A20" s="15">
        <f>T!A20</f>
        <v/>
      </c>
      <c r="B20" s="15">
        <f>T!L20</f>
        <v/>
      </c>
      <c r="C20" s="15">
        <f>(4*p_Ttop/PI())*SUMPRODUCT(SIN($K$3:$K$42*PI()*0.5)*SINH($K$3:$K$42*PI()*A20)/SINH($K$3:$K$42*PI())/$K$3:$K$42)</f>
        <v/>
      </c>
      <c r="D20" s="15">
        <f>ABS(B20-C20)</f>
        <v/>
      </c>
      <c r="K20" s="12" t="n">
        <v>35</v>
      </c>
    </row>
    <row r="21">
      <c r="A21" s="15">
        <f>T!A21</f>
        <v/>
      </c>
      <c r="B21" s="15">
        <f>T!L21</f>
        <v/>
      </c>
      <c r="C21" s="15">
        <f>(4*p_Ttop/PI())*SUMPRODUCT(SIN($K$3:$K$42*PI()*0.5)*SINH($K$3:$K$42*PI()*A21)/SINH($K$3:$K$42*PI())/$K$3:$K$42)</f>
        <v/>
      </c>
      <c r="D21" s="15">
        <f>ABS(B21-C21)</f>
        <v/>
      </c>
      <c r="K21" s="12" t="n">
        <v>37</v>
      </c>
    </row>
    <row r="22">
      <c r="A22" s="15">
        <f>T!A22</f>
        <v/>
      </c>
      <c r="B22" s="15">
        <f>T!L22</f>
        <v/>
      </c>
      <c r="C22" s="15">
        <f>(4*p_Ttop/PI())*SUMPRODUCT(SIN($K$3:$K$42*PI()*0.5)*SINH($K$3:$K$42*PI()*A22)/SINH($K$3:$K$42*PI())/$K$3:$K$42)</f>
        <v/>
      </c>
      <c r="D22" s="15">
        <f>ABS(B22-C22)</f>
        <v/>
      </c>
      <c r="K22" s="12" t="n">
        <v>39</v>
      </c>
    </row>
    <row r="23">
      <c r="A23" s="15">
        <f>T!A23</f>
        <v/>
      </c>
      <c r="B23" s="15">
        <f>T!L23</f>
        <v/>
      </c>
      <c r="C23" s="15">
        <f>(4*p_Ttop/PI())*SUMPRODUCT(SIN($K$3:$K$42*PI()*0.5)*SINH($K$3:$K$42*PI()*A23)/SINH($K$3:$K$42*PI())/$K$3:$K$42)</f>
        <v/>
      </c>
      <c r="D23" s="15">
        <f>ABS(B23-C23)</f>
        <v/>
      </c>
      <c r="K23" s="12" t="n">
        <v>41</v>
      </c>
    </row>
    <row r="24">
      <c r="K24" s="12" t="n">
        <v>43</v>
      </c>
    </row>
    <row r="25">
      <c r="K25" s="12" t="n">
        <v>45</v>
      </c>
    </row>
    <row r="26">
      <c r="K26" s="12" t="n">
        <v>47</v>
      </c>
    </row>
    <row r="27">
      <c r="K27" s="12" t="n">
        <v>49</v>
      </c>
    </row>
    <row r="28">
      <c r="K28" s="12" t="n">
        <v>51</v>
      </c>
    </row>
    <row r="29">
      <c r="K29" s="12" t="n">
        <v>53</v>
      </c>
    </row>
    <row r="30">
      <c r="K30" s="12" t="n">
        <v>55</v>
      </c>
    </row>
    <row r="31">
      <c r="K31" s="12" t="n">
        <v>57</v>
      </c>
    </row>
    <row r="32">
      <c r="K32" s="12" t="n">
        <v>59</v>
      </c>
    </row>
    <row r="33">
      <c r="K33" s="12" t="n">
        <v>61</v>
      </c>
    </row>
    <row r="34">
      <c r="K34" s="12" t="n">
        <v>63</v>
      </c>
    </row>
    <row r="35">
      <c r="K35" s="12" t="n">
        <v>65</v>
      </c>
    </row>
    <row r="36">
      <c r="K36" s="12" t="n">
        <v>67</v>
      </c>
    </row>
    <row r="37">
      <c r="K37" s="12" t="n">
        <v>69</v>
      </c>
    </row>
    <row r="38">
      <c r="K38" s="12" t="n">
        <v>71</v>
      </c>
    </row>
    <row r="39">
      <c r="K39" s="12" t="n">
        <v>73</v>
      </c>
    </row>
    <row r="40">
      <c r="K40" s="12" t="n">
        <v>75</v>
      </c>
    </row>
    <row r="41">
      <c r="K41" s="12" t="n">
        <v>77</v>
      </c>
    </row>
    <row r="42">
      <c r="K42" s="12" t="n">
        <v>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2026-10-26T22:52:07Z</dcterms:created>
  <dcterms:modified xmlns:dcterms="http://purl.org/dc/terms/" xmlns:xsi="http://www.w3.org/2001/XMLSchema-instance" xsi:type="dcterms:W3CDTF">2026-10-26T22:52:07Z</dcterms:modified>
</cp:coreProperties>
</file>